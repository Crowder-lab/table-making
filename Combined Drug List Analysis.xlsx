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 URLs" sheetId="1" r:id="rId4"/>
    <sheet state="visible" name="Imported Data" sheetId="2" r:id="rId5"/>
    <sheet state="visible" name="Commonality" sheetId="3" r:id="rId6"/>
  </sheets>
  <definedNames>
    <definedName name="SLC6A1">'Imported Data'!$M$3:$M$1000</definedName>
    <definedName name="ZC4H2">'Imported Data'!$G$3:$G$1000</definedName>
    <definedName name="Combined">'Imported Data'!$S$3:$S$1000</definedName>
    <definedName name="MAPK8IP3">'Imported Data'!$A$3:$A$1000</definedName>
  </definedNames>
  <calcPr/>
</workbook>
</file>

<file path=xl/sharedStrings.xml><?xml version="1.0" encoding="utf-8"?>
<sst xmlns="http://schemas.openxmlformats.org/spreadsheetml/2006/main" count="164" uniqueCount="154">
  <si>
    <t>URL</t>
  </si>
  <si>
    <t>Gene</t>
  </si>
  <si>
    <t>https://docs.google.com/spreadsheets/d/1Spt8qYim4XPspej6XI67k_I63yauq9zr2pJnMcsXZSA/edit</t>
  </si>
  <si>
    <t>MAPK8IP3</t>
  </si>
  <si>
    <t>https://docs.google.com/spreadsheets/d/1RqToPiEtpgdNCmgHZvuiPqup_bsjIR1hzf4EP3GpPbg/edit</t>
  </si>
  <si>
    <t>ZC4H2</t>
  </si>
  <si>
    <t>https://docs.google.com/spreadsheets/d/1GhCK3NOBh3-48G6vkiPgGToNn9NYo1GQ7HDRjJAP89g/edit</t>
  </si>
  <si>
    <t>SLC6A1</t>
  </si>
  <si>
    <t>Combined</t>
  </si>
  <si>
    <t>DrugBank:Main Name</t>
  </si>
  <si>
    <t>Score</t>
  </si>
  <si>
    <t>Pre-clinician score</t>
  </si>
  <si>
    <t>Have It</t>
  </si>
  <si>
    <t>Acetaminophen</t>
  </si>
  <si>
    <t>Acetylcysteine</t>
  </si>
  <si>
    <t>Alfacalcidol</t>
  </si>
  <si>
    <t>Alfentanil</t>
  </si>
  <si>
    <t>Amantadine</t>
  </si>
  <si>
    <t>Amitriptyline</t>
  </si>
  <si>
    <t>Anakinra</t>
  </si>
  <si>
    <t>Anidulafungin</t>
  </si>
  <si>
    <t>Apraclonidine</t>
  </si>
  <si>
    <t>Arsenic trioxide</t>
  </si>
  <si>
    <t>Atomoxetine</t>
  </si>
  <si>
    <t>Azelaic acid</t>
  </si>
  <si>
    <t>Baclofen</t>
  </si>
  <si>
    <t>Bepotastine</t>
  </si>
  <si>
    <t>Betamethasone</t>
  </si>
  <si>
    <t>Biotin</t>
  </si>
  <si>
    <t>Bisoprolol</t>
  </si>
  <si>
    <t>Budesonide</t>
  </si>
  <si>
    <t>Buspirone</t>
  </si>
  <si>
    <t>Butorphanol</t>
  </si>
  <si>
    <t>Calcitriol</t>
  </si>
  <si>
    <t>Captopril</t>
  </si>
  <si>
    <t>Cefoperazone</t>
  </si>
  <si>
    <t>Chloroprocaine</t>
  </si>
  <si>
    <t>Cholecalciferol</t>
  </si>
  <si>
    <t>Ciclesonide</t>
  </si>
  <si>
    <t>Ciclopirox</t>
  </si>
  <si>
    <t>Cilostazol</t>
  </si>
  <si>
    <t>Citalopram</t>
  </si>
  <si>
    <t>Clemastine</t>
  </si>
  <si>
    <t>Clindamycin</t>
  </si>
  <si>
    <t>Clomifene</t>
  </si>
  <si>
    <t>Clonidine</t>
  </si>
  <si>
    <t>Cyproheptadine</t>
  </si>
  <si>
    <t>Dantrolene</t>
  </si>
  <si>
    <t>Daprodustat</t>
  </si>
  <si>
    <t>Desflurane</t>
  </si>
  <si>
    <t>Desloratadine</t>
  </si>
  <si>
    <t>Desonide</t>
  </si>
  <si>
    <t>Desvenlafaxine</t>
  </si>
  <si>
    <t>Dexmedetomidine</t>
  </si>
  <si>
    <t>Dextromethorphan</t>
  </si>
  <si>
    <t>Disopyramide</t>
  </si>
  <si>
    <t>Eplerenone</t>
  </si>
  <si>
    <t>Escitalopram</t>
  </si>
  <si>
    <t>Ethambutol</t>
  </si>
  <si>
    <t>Ethosuximide</t>
  </si>
  <si>
    <t>Everolimus</t>
  </si>
  <si>
    <t>Ezetimibe</t>
  </si>
  <si>
    <t>Felbamate</t>
  </si>
  <si>
    <t>Fexofenadine</t>
  </si>
  <si>
    <t>Flunarizine</t>
  </si>
  <si>
    <t>Fluvoxamine</t>
  </si>
  <si>
    <t>Fusidic acid</t>
  </si>
  <si>
    <t>Gabapentin</t>
  </si>
  <si>
    <t>gamma-Hydroxybutyric acid</t>
  </si>
  <si>
    <t>Gemfibrozil</t>
  </si>
  <si>
    <t>Glutamic acid</t>
  </si>
  <si>
    <t>Guaifenesin</t>
  </si>
  <si>
    <t>Guanabenz</t>
  </si>
  <si>
    <t>Guanfacine</t>
  </si>
  <si>
    <t>Human immunoglobulin G</t>
  </si>
  <si>
    <t>Hydromorphone</t>
  </si>
  <si>
    <t>Hydroxychloroquine</t>
  </si>
  <si>
    <t>Hydroxyurea</t>
  </si>
  <si>
    <t>Hydroxyzine</t>
  </si>
  <si>
    <t>Insulin human</t>
  </si>
  <si>
    <t>Ketamine</t>
  </si>
  <si>
    <t>Latanoprost</t>
  </si>
  <si>
    <t>Levamisole</t>
  </si>
  <si>
    <t>Levetiracetam</t>
  </si>
  <si>
    <t>Levodopa</t>
  </si>
  <si>
    <t>Lidocaine</t>
  </si>
  <si>
    <t>Lisdexamfetamine</t>
  </si>
  <si>
    <t>Loratadine</t>
  </si>
  <si>
    <t>Lovastatin</t>
  </si>
  <si>
    <t>Lumateperone</t>
  </si>
  <si>
    <t>Memantine</t>
  </si>
  <si>
    <t>Meperidine</t>
  </si>
  <si>
    <t>Mepivacaine</t>
  </si>
  <si>
    <t>Metformin</t>
  </si>
  <si>
    <t>Methsuximide</t>
  </si>
  <si>
    <t>Methylprednisolone</t>
  </si>
  <si>
    <t>Metoprolol</t>
  </si>
  <si>
    <t>Metyrapone</t>
  </si>
  <si>
    <t>Midodrine</t>
  </si>
  <si>
    <t>Misoprostol</t>
  </si>
  <si>
    <t>Moclobemide</t>
  </si>
  <si>
    <t>Nadolol</t>
  </si>
  <si>
    <t>Nalbuphine</t>
  </si>
  <si>
    <t>Naloxone</t>
  </si>
  <si>
    <t>Natalizumab</t>
  </si>
  <si>
    <t>Nitroglycerin</t>
  </si>
  <si>
    <t>Oseltamivir</t>
  </si>
  <si>
    <t>Oxindole</t>
  </si>
  <si>
    <t>Oxybutynin</t>
  </si>
  <si>
    <t>Oxymetazoline</t>
  </si>
  <si>
    <t>Paricalcitol</t>
  </si>
  <si>
    <t>Pentobarbital</t>
  </si>
  <si>
    <t>Permethrin</t>
  </si>
  <si>
    <t>Perphenazine</t>
  </si>
  <si>
    <t>Phenoxybenzamine</t>
  </si>
  <si>
    <t>Phentolamine</t>
  </si>
  <si>
    <t>Pilocarpine</t>
  </si>
  <si>
    <t>Potassium chloride</t>
  </si>
  <si>
    <t>Praziquantel</t>
  </si>
  <si>
    <t>Pregabalin</t>
  </si>
  <si>
    <t>Prilocaine</t>
  </si>
  <si>
    <t>Primaquine</t>
  </si>
  <si>
    <t>Primidone</t>
  </si>
  <si>
    <t>Procaine</t>
  </si>
  <si>
    <t>Progesterone</t>
  </si>
  <si>
    <t>Propofol</t>
  </si>
  <si>
    <t>Propranolol</t>
  </si>
  <si>
    <t>Pseudoephedrine</t>
  </si>
  <si>
    <t>Pyridostigmine</t>
  </si>
  <si>
    <t>Pyridoxine</t>
  </si>
  <si>
    <t>Quinine</t>
  </si>
  <si>
    <t>Remifentanil</t>
  </si>
  <si>
    <t>Rivastigmine</t>
  </si>
  <si>
    <t>Ropivacaine</t>
  </si>
  <si>
    <t>Sertraline</t>
  </si>
  <si>
    <t>Sevoflurane</t>
  </si>
  <si>
    <t>Sirolimus</t>
  </si>
  <si>
    <t>Succinic acid</t>
  </si>
  <si>
    <t>Terbinafine</t>
  </si>
  <si>
    <t>Timolol</t>
  </si>
  <si>
    <t>Tolterodine</t>
  </si>
  <si>
    <t>Tramadol</t>
  </si>
  <si>
    <t>Tranexamic acid</t>
  </si>
  <si>
    <t>Tretinoin</t>
  </si>
  <si>
    <t>Triamcinolone</t>
  </si>
  <si>
    <t>Trihexyphenidyl</t>
  </si>
  <si>
    <t>Tropicamide</t>
  </si>
  <si>
    <t>Vigabatrin</t>
  </si>
  <si>
    <t>Total Count</t>
  </si>
  <si>
    <t>Common Drugs</t>
  </si>
  <si>
    <t>Count</t>
  </si>
  <si>
    <t>MAPK8IP3 Unique Drugs</t>
  </si>
  <si>
    <t>ZC4H2 Unique Drugs</t>
  </si>
  <si>
    <t>SLC6A1 Unique Drugs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</si>
</sst>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49" xfId="0" applyFont="1" applyNumberFormat="1"/>
    <xf borderId="0" fillId="0" fontId="3" numFmtId="0" xfId="0" applyFont="1"/>
    <xf borderId="0" fillId="0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pt8qYim4XPspej6XI67k_I63yauq9zr2pJnMcsXZSA/edit" TargetMode="External"/><Relationship Id="rId2" Type="http://schemas.openxmlformats.org/officeDocument/2006/relationships/hyperlink" Target="https://docs.google.com/spreadsheets/d/1RqToPiEtpgdNCmgHZvuiPqup_bsjIR1hzf4EP3GpPbg/edit" TargetMode="External"/><Relationship Id="rId3" Type="http://schemas.openxmlformats.org/officeDocument/2006/relationships/hyperlink" Target="https://docs.google.com/spreadsheets/d/1GhCK3NOBh3-48G6vkiPgGToNn9NYo1GQ7HDRjJAP89g/ed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</sheetData>
  <hyperlinks>
    <hyperlink r:id="rId1" ref="A2"/>
    <hyperlink r:id="rId2" ref="A3"/>
    <hyperlink r:id="rId3" ref="A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5.63"/>
    <col customWidth="1" min="3" max="3" width="16.0"/>
    <col customWidth="1" min="4" max="4" width="6.5"/>
    <col customWidth="1" min="5" max="5" width="10.0"/>
    <col customWidth="1" min="7" max="7" width="21.63"/>
    <col customWidth="1" min="8" max="8" width="5.63"/>
    <col customWidth="1" min="9" max="9" width="15.88"/>
    <col customWidth="1" min="10" max="10" width="6.5"/>
    <col customWidth="1" min="11" max="11" width="10.0"/>
    <col customWidth="1" min="13" max="13" width="21.63"/>
    <col customWidth="1" min="14" max="14" width="5.63"/>
    <col customWidth="1" min="15" max="15" width="15.88"/>
    <col customWidth="1" min="16" max="16" width="6.5"/>
    <col customWidth="1" min="17" max="17" width="10.0"/>
    <col customWidth="1" min="19" max="19" width="21.63"/>
    <col customWidth="1" min="20" max="20" width="5.63"/>
    <col customWidth="1" min="21" max="21" width="15.88"/>
    <col customWidth="1" min="22" max="22" width="6.5"/>
  </cols>
  <sheetData>
    <row r="1">
      <c r="A1" s="1" t="s">
        <v>3</v>
      </c>
      <c r="B1" s="5" t="str">
        <f t="array" ref="B1">INDEX('Gene URLs'!A2:A1000, MATCH(A1, 'Gene URLs'!B2:B1000, 0))</f>
        <v>https://docs.google.com/spreadsheets/d/1Spt8qYim4XPspej6XI67k_I63yauq9zr2pJnMcsXZSA/edit</v>
      </c>
      <c r="C1" s="2"/>
      <c r="D1" s="2"/>
      <c r="E1" s="2"/>
      <c r="F1" s="2"/>
      <c r="G1" s="1" t="s">
        <v>5</v>
      </c>
      <c r="H1" s="5" t="str">
        <f t="array" ref="H1">INDEX('Gene URLs'!A2:A1000, MATCH(G1, 'Gene URLs'!B2:B1000, 0))</f>
        <v>https://docs.google.com/spreadsheets/d/1RqToPiEtpgdNCmgHZvuiPqup_bsjIR1hzf4EP3GpPbg/edit</v>
      </c>
      <c r="I1" s="2"/>
      <c r="J1" s="2"/>
      <c r="K1" s="2"/>
      <c r="L1" s="2"/>
      <c r="M1" s="1" t="s">
        <v>7</v>
      </c>
      <c r="N1" s="5" t="str">
        <f t="array" ref="N1">INDEX('Gene URLs'!A2:A1000, MATCH(M1, 'Gene URLs'!B2:B1000, 0))</f>
        <v>https://docs.google.com/spreadsheets/d/1GhCK3NOBh3-48G6vkiPgGToNn9NYo1GQ7HDRjJAP89g/edit</v>
      </c>
      <c r="O1" s="2"/>
      <c r="P1" s="2"/>
      <c r="Q1" s="2"/>
      <c r="R1" s="2"/>
      <c r="S1" s="1" t="s">
        <v>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 t="str">
        <f>IFERROR(__xludf.DUMMYFUNCTION("IMPORTRANGE(B1, ""Final Clinician Ranking!A:C"")"),"DrugBank:Main Name")</f>
        <v>DrugBank:Main Name</v>
      </c>
      <c r="B2" s="2" t="str">
        <f>IFERROR(__xludf.DUMMYFUNCTION("""COMPUTED_VALUE"""),"Score")</f>
        <v>Score</v>
      </c>
      <c r="C2" s="2" t="str">
        <f>IFERROR(__xludf.DUMMYFUNCTION("""COMPUTED_VALUE"""),"Pre-clinician Score")</f>
        <v>Pre-clinician Score</v>
      </c>
      <c r="D2" s="2" t="str">
        <f>IFERROR(__xludf.DUMMYFUNCTION("IMPORTRANGE(B1, ""Final Clinician Ranking!L:M"")"),"Have It")</f>
        <v>Have It</v>
      </c>
      <c r="E2" s="2" t="str">
        <f>IFERROR(__xludf.DUMMYFUNCTION("""COMPUTED_VALUE"""),"Screened It")</f>
        <v>Screened It</v>
      </c>
      <c r="F2" s="2"/>
      <c r="G2" s="2" t="str">
        <f>IFERROR(__xludf.DUMMYFUNCTION("IMPORTRANGE(H1, ""Final Clinician Ranking!A:C"")"),"DrugBank:Main Name")</f>
        <v>DrugBank:Main Name</v>
      </c>
      <c r="H2" s="6" t="str">
        <f>IFERROR(__xludf.DUMMYFUNCTION("""COMPUTED_VALUE"""),"Score")</f>
        <v>Score</v>
      </c>
      <c r="I2" s="2" t="str">
        <f>IFERROR(__xludf.DUMMYFUNCTION("""COMPUTED_VALUE"""),"Pre-clinician score")</f>
        <v>Pre-clinician score</v>
      </c>
      <c r="J2" s="2" t="str">
        <f>IFERROR(__xludf.DUMMYFUNCTION("IMPORTRANGE(H1, ""Final Clinician Ranking!K:L"")"),"Have It")</f>
        <v>Have It</v>
      </c>
      <c r="K2" s="2" t="str">
        <f>IFERROR(__xludf.DUMMYFUNCTION("""COMPUTED_VALUE"""),"Screened It")</f>
        <v>Screened It</v>
      </c>
      <c r="L2" s="2"/>
      <c r="M2" s="2" t="str">
        <f>IFERROR(__xludf.DUMMYFUNCTION("IMPORTRANGE(N1, ""Final Clinician Ranking!A:C"")"),"DrugBank:Main Name")</f>
        <v>DrugBank:Main Name</v>
      </c>
      <c r="N2" s="6" t="str">
        <f>IFERROR(__xludf.DUMMYFUNCTION("""COMPUTED_VALUE"""),"Score")</f>
        <v>Score</v>
      </c>
      <c r="O2" s="2" t="str">
        <f>IFERROR(__xludf.DUMMYFUNCTION("""COMPUTED_VALUE"""),"Pre-clinician score")</f>
        <v>Pre-clinician score</v>
      </c>
      <c r="P2" s="2" t="str">
        <f>IFERROR(__xludf.DUMMYFUNCTION("IMPORTRANGE(N1, ""Final Clinician Ranking!L:M"")"),"Have It")</f>
        <v>Have It</v>
      </c>
      <c r="Q2" s="2" t="str">
        <f>IFERROR(__xludf.DUMMYFUNCTION("""COMPUTED_VALUE"""),"Screened It")</f>
        <v>Screened It</v>
      </c>
      <c r="R2" s="2"/>
      <c r="S2" s="1" t="s">
        <v>9</v>
      </c>
      <c r="T2" s="1" t="s">
        <v>10</v>
      </c>
      <c r="U2" s="1" t="s">
        <v>11</v>
      </c>
      <c r="V2" s="1" t="s">
        <v>12</v>
      </c>
      <c r="W2" s="2"/>
      <c r="X2" s="2"/>
      <c r="Y2" s="2"/>
      <c r="Z2" s="2"/>
      <c r="AA2" s="2"/>
      <c r="AB2" s="2"/>
      <c r="AC2" s="2"/>
      <c r="AD2" s="2"/>
    </row>
    <row r="3">
      <c r="A3" s="7" t="str">
        <f>IFERROR(__xludf.DUMMYFUNCTION("""COMPUTED_VALUE"""),"Acetaminophen")</f>
        <v>Acetaminophen</v>
      </c>
      <c r="B3" s="8">
        <f>IFERROR(__xludf.DUMMYFUNCTION("""COMPUTED_VALUE"""),6.0)</f>
        <v>6</v>
      </c>
      <c r="C3" s="8">
        <f>IFERROR(__xludf.DUMMYFUNCTION("""COMPUTED_VALUE"""),3.0)</f>
        <v>3</v>
      </c>
      <c r="D3" s="7" t="b">
        <f>IFERROR(__xludf.DUMMYFUNCTION("""COMPUTED_VALUE"""),FALSE)</f>
        <v>0</v>
      </c>
      <c r="E3" s="7" t="b">
        <f>IFERROR(__xludf.DUMMYFUNCTION("""COMPUTED_VALUE"""),TRUE)</f>
        <v>1</v>
      </c>
      <c r="G3" s="7" t="str">
        <f>IFERROR(__xludf.DUMMYFUNCTION("""COMPUTED_VALUE"""),"Acetaminophen")</f>
        <v>Acetaminophen</v>
      </c>
      <c r="H3" s="8">
        <f>IFERROR(__xludf.DUMMYFUNCTION("""COMPUTED_VALUE"""),6.0)</f>
        <v>6</v>
      </c>
      <c r="I3" s="8">
        <f>IFERROR(__xludf.DUMMYFUNCTION("""COMPUTED_VALUE"""),3.0)</f>
        <v>3</v>
      </c>
      <c r="J3" s="7" t="b">
        <f>IFERROR(__xludf.DUMMYFUNCTION("""COMPUTED_VALUE"""),FALSE)</f>
        <v>0</v>
      </c>
      <c r="K3" s="7" t="b">
        <f>IFERROR(__xludf.DUMMYFUNCTION("""COMPUTED_VALUE"""),FALSE)</f>
        <v>0</v>
      </c>
      <c r="M3" s="7" t="str">
        <f>IFERROR(__xludf.DUMMYFUNCTION("""COMPUTED_VALUE"""),"Acamprosate")</f>
        <v>Acamprosate</v>
      </c>
      <c r="N3" s="8">
        <f>IFERROR(__xludf.DUMMYFUNCTION("""COMPUTED_VALUE"""),1.0)</f>
        <v>1</v>
      </c>
      <c r="O3" s="8">
        <f>IFERROR(__xludf.DUMMYFUNCTION("""COMPUTED_VALUE"""),3.0)</f>
        <v>3</v>
      </c>
      <c r="P3" s="7" t="b">
        <f>IFERROR(__xludf.DUMMYFUNCTION("""COMPUTED_VALUE"""),FALSE)</f>
        <v>0</v>
      </c>
      <c r="Q3" s="7" t="b">
        <f>IFERROR(__xludf.DUMMYFUNCTION("""COMPUTED_VALUE"""),FALSE)</f>
        <v>0</v>
      </c>
      <c r="S3" s="7" t="str">
        <f t="array" ref="S3:S139">SORT(UNIQUE({MAPK8IP3; ZC4H2; SLC6A1}))</f>
        <v>Acamprosate</v>
      </c>
      <c r="T3" s="8">
        <f t="array" ref="T3">XLOOKUP(S3, MAPK8IP3, B3:B1000, XLOOKUP(S3, ZC4H2, H3:H1000, XLOOKUP(S3, SLC6A1, N3:N1000)))</f>
        <v>1</v>
      </c>
      <c r="U3" s="8">
        <f t="array" ref="U3">XLOOKUP(S3, MAPK8IP3, C3:C1000, XLOOKUP(S3, ZC4H2, I3:I1000, XLOOKUP(S3, SLC6A1, O3:O1000)))</f>
        <v>3</v>
      </c>
      <c r="V3" s="7" t="b">
        <f t="array" ref="V3">XLOOKUP(S3, MAPK8IP3, D3:D1000, XLOOKUP(S3, ZC4H2, J3:J1000, XLOOKUP(S3, SLC6A1, P3:P1000)))</f>
        <v>0</v>
      </c>
    </row>
    <row r="4">
      <c r="A4" s="7" t="str">
        <f>IFERROR(__xludf.DUMMYFUNCTION("""COMPUTED_VALUE"""),"Acetylcysteine")</f>
        <v>Acetylcysteine</v>
      </c>
      <c r="B4" s="8">
        <f>IFERROR(__xludf.DUMMYFUNCTION("""COMPUTED_VALUE"""),6.0)</f>
        <v>6</v>
      </c>
      <c r="C4" s="8">
        <f>IFERROR(__xludf.DUMMYFUNCTION("""COMPUTED_VALUE"""),3.0)</f>
        <v>3</v>
      </c>
      <c r="D4" s="7" t="b">
        <f>IFERROR(__xludf.DUMMYFUNCTION("""COMPUTED_VALUE"""),TRUE)</f>
        <v>1</v>
      </c>
      <c r="E4" s="7" t="b">
        <f>IFERROR(__xludf.DUMMYFUNCTION("""COMPUTED_VALUE"""),TRUE)</f>
        <v>1</v>
      </c>
      <c r="G4" s="7" t="str">
        <f>IFERROR(__xludf.DUMMYFUNCTION("""COMPUTED_VALUE"""),"Acetylcysteine")</f>
        <v>Acetylcysteine</v>
      </c>
      <c r="H4" s="8">
        <f>IFERROR(__xludf.DUMMYFUNCTION("""COMPUTED_VALUE"""),6.0)</f>
        <v>6</v>
      </c>
      <c r="I4" s="8">
        <f>IFERROR(__xludf.DUMMYFUNCTION("""COMPUTED_VALUE"""),3.0)</f>
        <v>3</v>
      </c>
      <c r="J4" s="7" t="b">
        <f>IFERROR(__xludf.DUMMYFUNCTION("""COMPUTED_VALUE"""),TRUE)</f>
        <v>1</v>
      </c>
      <c r="K4" s="7" t="b">
        <f>IFERROR(__xludf.DUMMYFUNCTION("""COMPUTED_VALUE"""),FALSE)</f>
        <v>0</v>
      </c>
      <c r="M4" s="7" t="str">
        <f>IFERROR(__xludf.DUMMYFUNCTION("""COMPUTED_VALUE"""),"Acetaminophen")</f>
        <v>Acetaminophen</v>
      </c>
      <c r="N4" s="8">
        <f>IFERROR(__xludf.DUMMYFUNCTION("""COMPUTED_VALUE"""),6.0)</f>
        <v>6</v>
      </c>
      <c r="O4" s="8">
        <f>IFERROR(__xludf.DUMMYFUNCTION("""COMPUTED_VALUE"""),3.0)</f>
        <v>3</v>
      </c>
      <c r="P4" s="7" t="b">
        <f>IFERROR(__xludf.DUMMYFUNCTION("""COMPUTED_VALUE"""),FALSE)</f>
        <v>0</v>
      </c>
      <c r="Q4" s="7" t="b">
        <f>IFERROR(__xludf.DUMMYFUNCTION("""COMPUTED_VALUE"""),FALSE)</f>
        <v>0</v>
      </c>
      <c r="S4" s="7" t="s">
        <v>13</v>
      </c>
      <c r="T4" s="8">
        <f t="array" ref="T4">XLOOKUP(S4, MAPK8IP3, B3:B1000, XLOOKUP(S4, ZC4H2, H3:H1000, XLOOKUP(S4, SLC6A1, N3:N1000)))</f>
        <v>6</v>
      </c>
      <c r="U4" s="8">
        <f t="array" ref="U4">XLOOKUP(S4, MAPK8IP3, C3:C1000, XLOOKUP(S4, ZC4H2, I3:I1000, XLOOKUP(S4, SLC6A1, O3:O1000)))</f>
        <v>3</v>
      </c>
      <c r="V4" s="7" t="b">
        <f t="array" ref="V4">XLOOKUP(S4, MAPK8IP3, D3:D1000, XLOOKUP(S4, ZC4H2, J3:J1000, XLOOKUP(S4, SLC6A1, P3:P1000)))</f>
        <v>0</v>
      </c>
    </row>
    <row r="5">
      <c r="A5" s="7" t="str">
        <f>IFERROR(__xludf.DUMMYFUNCTION("""COMPUTED_VALUE"""),"Amitriptyline")</f>
        <v>Amitriptyline</v>
      </c>
      <c r="B5" s="8">
        <f>IFERROR(__xludf.DUMMYFUNCTION("""COMPUTED_VALUE"""),6.0)</f>
        <v>6</v>
      </c>
      <c r="C5" s="8">
        <f>IFERROR(__xludf.DUMMYFUNCTION("""COMPUTED_VALUE"""),3.0)</f>
        <v>3</v>
      </c>
      <c r="D5" s="7" t="b">
        <f>IFERROR(__xludf.DUMMYFUNCTION("""COMPUTED_VALUE"""),FALSE)</f>
        <v>0</v>
      </c>
      <c r="E5" s="7" t="b">
        <f>IFERROR(__xludf.DUMMYFUNCTION("""COMPUTED_VALUE"""),FALSE)</f>
        <v>0</v>
      </c>
      <c r="G5" s="7" t="str">
        <f>IFERROR(__xludf.DUMMYFUNCTION("""COMPUTED_VALUE"""),"Amitriptyline")</f>
        <v>Amitriptyline</v>
      </c>
      <c r="H5" s="8">
        <f>IFERROR(__xludf.DUMMYFUNCTION("""COMPUTED_VALUE"""),6.0)</f>
        <v>6</v>
      </c>
      <c r="I5" s="8">
        <f>IFERROR(__xludf.DUMMYFUNCTION("""COMPUTED_VALUE"""),3.0)</f>
        <v>3</v>
      </c>
      <c r="J5" s="7" t="b">
        <f>IFERROR(__xludf.DUMMYFUNCTION("""COMPUTED_VALUE"""),FALSE)</f>
        <v>0</v>
      </c>
      <c r="K5" s="7" t="b">
        <f>IFERROR(__xludf.DUMMYFUNCTION("""COMPUTED_VALUE"""),FALSE)</f>
        <v>0</v>
      </c>
      <c r="M5" s="7" t="str">
        <f>IFERROR(__xludf.DUMMYFUNCTION("""COMPUTED_VALUE"""),"Acetylcysteine")</f>
        <v>Acetylcysteine</v>
      </c>
      <c r="N5" s="8">
        <f>IFERROR(__xludf.DUMMYFUNCTION("""COMPUTED_VALUE"""),6.0)</f>
        <v>6</v>
      </c>
      <c r="O5" s="8">
        <f>IFERROR(__xludf.DUMMYFUNCTION("""COMPUTED_VALUE"""),3.0)</f>
        <v>3</v>
      </c>
      <c r="P5" s="7" t="b">
        <f>IFERROR(__xludf.DUMMYFUNCTION("""COMPUTED_VALUE"""),TRUE)</f>
        <v>1</v>
      </c>
      <c r="Q5" s="7" t="b">
        <f>IFERROR(__xludf.DUMMYFUNCTION("""COMPUTED_VALUE"""),FALSE)</f>
        <v>0</v>
      </c>
      <c r="S5" s="7" t="s">
        <v>14</v>
      </c>
      <c r="T5" s="8">
        <f t="array" ref="T5">XLOOKUP(S5, MAPK8IP3, B3:B1000, XLOOKUP(S5, ZC4H2, H3:H1000, XLOOKUP(S5, SLC6A1, N3:N1000)))</f>
        <v>6</v>
      </c>
      <c r="U5" s="8">
        <f t="array" ref="U5">XLOOKUP(S5, MAPK8IP3, C3:C1000, XLOOKUP(S5, ZC4H2, I3:I1000, XLOOKUP(S5, SLC6A1, O3:O1000)))</f>
        <v>3</v>
      </c>
      <c r="V5" s="7" t="b">
        <f t="array" ref="V5">XLOOKUP(S5, MAPK8IP3, D3:D1000, XLOOKUP(S5, ZC4H2, J3:J1000, XLOOKUP(S5, SLC6A1, P3:P1000)))</f>
        <v>1</v>
      </c>
    </row>
    <row r="6">
      <c r="A6" s="7" t="str">
        <f>IFERROR(__xludf.DUMMYFUNCTION("""COMPUTED_VALUE"""),"Azelaic acid")</f>
        <v>Azelaic acid</v>
      </c>
      <c r="B6" s="8">
        <f>IFERROR(__xludf.DUMMYFUNCTION("""COMPUTED_VALUE"""),6.0)</f>
        <v>6</v>
      </c>
      <c r="C6" s="8">
        <f>IFERROR(__xludf.DUMMYFUNCTION("""COMPUTED_VALUE"""),3.0)</f>
        <v>3</v>
      </c>
      <c r="D6" s="7" t="b">
        <f>IFERROR(__xludf.DUMMYFUNCTION("""COMPUTED_VALUE"""),FALSE)</f>
        <v>0</v>
      </c>
      <c r="E6" s="7" t="b">
        <f>IFERROR(__xludf.DUMMYFUNCTION("""COMPUTED_VALUE"""),FALSE)</f>
        <v>0</v>
      </c>
      <c r="G6" s="7" t="str">
        <f>IFERROR(__xludf.DUMMYFUNCTION("""COMPUTED_VALUE"""),"Betamethasone")</f>
        <v>Betamethasone</v>
      </c>
      <c r="H6" s="8">
        <f>IFERROR(__xludf.DUMMYFUNCTION("""COMPUTED_VALUE"""),6.0)</f>
        <v>6</v>
      </c>
      <c r="I6" s="8">
        <f>IFERROR(__xludf.DUMMYFUNCTION("""COMPUTED_VALUE"""),3.0)</f>
        <v>3</v>
      </c>
      <c r="J6" s="7" t="b">
        <f>IFERROR(__xludf.DUMMYFUNCTION("""COMPUTED_VALUE"""),FALSE)</f>
        <v>0</v>
      </c>
      <c r="K6" s="7" t="b">
        <f>IFERROR(__xludf.DUMMYFUNCTION("""COMPUTED_VALUE"""),FALSE)</f>
        <v>0</v>
      </c>
      <c r="M6" s="7" t="str">
        <f>IFERROR(__xludf.DUMMYFUNCTION("""COMPUTED_VALUE"""),"Amantadine")</f>
        <v>Amantadine</v>
      </c>
      <c r="N6" s="8">
        <f>IFERROR(__xludf.DUMMYFUNCTION("""COMPUTED_VALUE"""),2.0)</f>
        <v>2</v>
      </c>
      <c r="O6" s="8">
        <f>IFERROR(__xludf.DUMMYFUNCTION("""COMPUTED_VALUE"""),3.0)</f>
        <v>3</v>
      </c>
      <c r="P6" s="7" t="b">
        <f>IFERROR(__xludf.DUMMYFUNCTION("""COMPUTED_VALUE"""),TRUE)</f>
        <v>1</v>
      </c>
      <c r="Q6" s="7" t="b">
        <f>IFERROR(__xludf.DUMMYFUNCTION("""COMPUTED_VALUE"""),FALSE)</f>
        <v>0</v>
      </c>
      <c r="S6" s="7" t="s">
        <v>15</v>
      </c>
      <c r="T6" s="8">
        <f t="array" ref="T6">XLOOKUP(S6, MAPK8IP3, B3:B1000, XLOOKUP(S6, ZC4H2, H3:H1000, XLOOKUP(S6, SLC6A1, N3:N1000)))</f>
        <v>3</v>
      </c>
      <c r="U6" s="8">
        <f t="array" ref="U6">XLOOKUP(S6, MAPK8IP3, C3:C1000, XLOOKUP(S6, ZC4H2, I3:I1000, XLOOKUP(S6, SLC6A1, O3:O1000)))</f>
        <v>3</v>
      </c>
      <c r="V6" s="7" t="b">
        <f t="array" ref="V6">XLOOKUP(S6, MAPK8IP3, D3:D1000, XLOOKUP(S6, ZC4H2, J3:J1000, XLOOKUP(S6, SLC6A1, P3:P1000)))</f>
        <v>0</v>
      </c>
    </row>
    <row r="7">
      <c r="A7" s="7" t="str">
        <f>IFERROR(__xludf.DUMMYFUNCTION("""COMPUTED_VALUE"""),"Betamethasone")</f>
        <v>Betamethasone</v>
      </c>
      <c r="B7" s="8">
        <f>IFERROR(__xludf.DUMMYFUNCTION("""COMPUTED_VALUE"""),6.0)</f>
        <v>6</v>
      </c>
      <c r="C7" s="8">
        <f>IFERROR(__xludf.DUMMYFUNCTION("""COMPUTED_VALUE"""),3.0)</f>
        <v>3</v>
      </c>
      <c r="D7" s="7" t="b">
        <f>IFERROR(__xludf.DUMMYFUNCTION("""COMPUTED_VALUE"""),FALSE)</f>
        <v>0</v>
      </c>
      <c r="E7" s="7" t="b">
        <f>IFERROR(__xludf.DUMMYFUNCTION("""COMPUTED_VALUE"""),FALSE)</f>
        <v>0</v>
      </c>
      <c r="G7" s="7" t="str">
        <f>IFERROR(__xludf.DUMMYFUNCTION("""COMPUTED_VALUE"""),"Biotin")</f>
        <v>Biotin</v>
      </c>
      <c r="H7" s="8">
        <f>IFERROR(__xludf.DUMMYFUNCTION("""COMPUTED_VALUE"""),6.0)</f>
        <v>6</v>
      </c>
      <c r="I7" s="8">
        <f>IFERROR(__xludf.DUMMYFUNCTION("""COMPUTED_VALUE"""),3.0)</f>
        <v>3</v>
      </c>
      <c r="J7" s="7" t="b">
        <f>IFERROR(__xludf.DUMMYFUNCTION("""COMPUTED_VALUE"""),FALSE)</f>
        <v>0</v>
      </c>
      <c r="K7" s="7" t="b">
        <f>IFERROR(__xludf.DUMMYFUNCTION("""COMPUTED_VALUE"""),FALSE)</f>
        <v>0</v>
      </c>
      <c r="M7" s="7" t="str">
        <f>IFERROR(__xludf.DUMMYFUNCTION("""COMPUTED_VALUE"""),"Amitriptyline")</f>
        <v>Amitriptyline</v>
      </c>
      <c r="N7" s="8">
        <f>IFERROR(__xludf.DUMMYFUNCTION("""COMPUTED_VALUE"""),6.0)</f>
        <v>6</v>
      </c>
      <c r="O7" s="8">
        <f>IFERROR(__xludf.DUMMYFUNCTION("""COMPUTED_VALUE"""),3.0)</f>
        <v>3</v>
      </c>
      <c r="P7" s="7" t="b">
        <f>IFERROR(__xludf.DUMMYFUNCTION("""COMPUTED_VALUE"""),FALSE)</f>
        <v>0</v>
      </c>
      <c r="Q7" s="7" t="b">
        <f>IFERROR(__xludf.DUMMYFUNCTION("""COMPUTED_VALUE"""),FALSE)</f>
        <v>0</v>
      </c>
      <c r="S7" s="7" t="s">
        <v>16</v>
      </c>
      <c r="T7" s="7">
        <f t="array" ref="T7">XLOOKUP(S7, MAPK8IP3, B3:B1000, XLOOKUP(S7, ZC4H2, H3:H1000, XLOOKUP(S7, SLC6A1, N3:N1000)))</f>
        <v>0</v>
      </c>
      <c r="U7" s="7">
        <f t="array" ref="U7">XLOOKUP(S7, MAPK8IP3, C3:C1000, XLOOKUP(S7, ZC4H2, I3:I1000, XLOOKUP(S7, SLC6A1, O3:O1000)))</f>
        <v>3</v>
      </c>
      <c r="V7" s="7" t="b">
        <f t="array" ref="V7">XLOOKUP(S7, MAPK8IP3, D3:D1000, XLOOKUP(S7, ZC4H2, J3:J1000, XLOOKUP(S7, SLC6A1, P3:P1000)))</f>
        <v>0</v>
      </c>
    </row>
    <row r="8">
      <c r="A8" s="7" t="str">
        <f>IFERROR(__xludf.DUMMYFUNCTION("""COMPUTED_VALUE"""),"Biotin")</f>
        <v>Biotin</v>
      </c>
      <c r="B8" s="8">
        <f>IFERROR(__xludf.DUMMYFUNCTION("""COMPUTED_VALUE"""),6.0)</f>
        <v>6</v>
      </c>
      <c r="C8" s="8">
        <f>IFERROR(__xludf.DUMMYFUNCTION("""COMPUTED_VALUE"""),3.0)</f>
        <v>3</v>
      </c>
      <c r="D8" s="7" t="b">
        <f>IFERROR(__xludf.DUMMYFUNCTION("""COMPUTED_VALUE"""),FALSE)</f>
        <v>0</v>
      </c>
      <c r="E8" s="7" t="b">
        <f>IFERROR(__xludf.DUMMYFUNCTION("""COMPUTED_VALUE"""),FALSE)</f>
        <v>0</v>
      </c>
      <c r="G8" s="7" t="str">
        <f>IFERROR(__xludf.DUMMYFUNCTION("""COMPUTED_VALUE"""),"Budesonide")</f>
        <v>Budesonide</v>
      </c>
      <c r="H8" s="8">
        <f>IFERROR(__xludf.DUMMYFUNCTION("""COMPUTED_VALUE"""),6.0)</f>
        <v>6</v>
      </c>
      <c r="I8" s="8">
        <f>IFERROR(__xludf.DUMMYFUNCTION("""COMPUTED_VALUE"""),3.0)</f>
        <v>3</v>
      </c>
      <c r="J8" s="7" t="b">
        <f>IFERROR(__xludf.DUMMYFUNCTION("""COMPUTED_VALUE"""),FALSE)</f>
        <v>0</v>
      </c>
      <c r="K8" s="7" t="b">
        <f>IFERROR(__xludf.DUMMYFUNCTION("""COMPUTED_VALUE"""),FALSE)</f>
        <v>0</v>
      </c>
      <c r="M8" s="7" t="str">
        <f>IFERROR(__xludf.DUMMYFUNCTION("""COMPUTED_VALUE"""),"Anakinra")</f>
        <v>Anakinra</v>
      </c>
      <c r="N8" s="8">
        <f>IFERROR(__xludf.DUMMYFUNCTION("""COMPUTED_VALUE"""),2.0)</f>
        <v>2</v>
      </c>
      <c r="O8" s="8">
        <f>IFERROR(__xludf.DUMMYFUNCTION("""COMPUTED_VALUE"""),3.0)</f>
        <v>3</v>
      </c>
      <c r="P8" s="7" t="b">
        <f>IFERROR(__xludf.DUMMYFUNCTION("""COMPUTED_VALUE"""),FALSE)</f>
        <v>0</v>
      </c>
      <c r="Q8" s="7" t="b">
        <f>IFERROR(__xludf.DUMMYFUNCTION("""COMPUTED_VALUE"""),FALSE)</f>
        <v>0</v>
      </c>
      <c r="S8" s="7" t="s">
        <v>17</v>
      </c>
      <c r="T8" s="8">
        <f t="array" ref="T8">XLOOKUP(S8, MAPK8IP3, B3:B1000, XLOOKUP(S8, ZC4H2, H3:H1000, XLOOKUP(S8, SLC6A1, N3:N1000)))</f>
        <v>2</v>
      </c>
      <c r="U8" s="8">
        <f t="array" ref="U8">XLOOKUP(S8, MAPK8IP3, C3:C1000, XLOOKUP(S8, ZC4H2, I3:I1000, XLOOKUP(S8, SLC6A1, O3:O1000)))</f>
        <v>3</v>
      </c>
      <c r="V8" s="7" t="b">
        <f t="array" ref="V8">XLOOKUP(S8, MAPK8IP3, D3:D1000, XLOOKUP(S8, ZC4H2, J3:J1000, XLOOKUP(S8, SLC6A1, P3:P1000)))</f>
        <v>1</v>
      </c>
    </row>
    <row r="9">
      <c r="A9" s="7" t="str">
        <f>IFERROR(__xludf.DUMMYFUNCTION("""COMPUTED_VALUE"""),"Budesonide")</f>
        <v>Budesonide</v>
      </c>
      <c r="B9" s="8">
        <f>IFERROR(__xludf.DUMMYFUNCTION("""COMPUTED_VALUE"""),6.0)</f>
        <v>6</v>
      </c>
      <c r="C9" s="8">
        <f>IFERROR(__xludf.DUMMYFUNCTION("""COMPUTED_VALUE"""),3.0)</f>
        <v>3</v>
      </c>
      <c r="D9" s="7" t="b">
        <f>IFERROR(__xludf.DUMMYFUNCTION("""COMPUTED_VALUE"""),FALSE)</f>
        <v>0</v>
      </c>
      <c r="E9" s="7" t="b">
        <f>IFERROR(__xludf.DUMMYFUNCTION("""COMPUTED_VALUE"""),FALSE)</f>
        <v>0</v>
      </c>
      <c r="G9" s="7" t="str">
        <f>IFERROR(__xludf.DUMMYFUNCTION("""COMPUTED_VALUE"""),"Buspirone")</f>
        <v>Buspirone</v>
      </c>
      <c r="H9" s="8">
        <f>IFERROR(__xludf.DUMMYFUNCTION("""COMPUTED_VALUE"""),6.0)</f>
        <v>6</v>
      </c>
      <c r="I9" s="8">
        <f>IFERROR(__xludf.DUMMYFUNCTION("""COMPUTED_VALUE"""),3.0)</f>
        <v>3</v>
      </c>
      <c r="J9" s="7" t="b">
        <f>IFERROR(__xludf.DUMMYFUNCTION("""COMPUTED_VALUE"""),TRUE)</f>
        <v>1</v>
      </c>
      <c r="K9" s="7" t="b">
        <f>IFERROR(__xludf.DUMMYFUNCTION("""COMPUTED_VALUE"""),FALSE)</f>
        <v>0</v>
      </c>
      <c r="M9" s="7" t="str">
        <f>IFERROR(__xludf.DUMMYFUNCTION("""COMPUTED_VALUE"""),"Arsenic trioxide")</f>
        <v>Arsenic trioxide</v>
      </c>
      <c r="N9" s="8">
        <f>IFERROR(__xludf.DUMMYFUNCTION("""COMPUTED_VALUE"""),1.0)</f>
        <v>1</v>
      </c>
      <c r="O9" s="8">
        <f>IFERROR(__xludf.DUMMYFUNCTION("""COMPUTED_VALUE"""),3.0)</f>
        <v>3</v>
      </c>
      <c r="P9" s="7" t="b">
        <f>IFERROR(__xludf.DUMMYFUNCTION("""COMPUTED_VALUE"""),FALSE)</f>
        <v>0</v>
      </c>
      <c r="Q9" s="7" t="b">
        <f>IFERROR(__xludf.DUMMYFUNCTION("""COMPUTED_VALUE"""),FALSE)</f>
        <v>0</v>
      </c>
      <c r="S9" s="7" t="s">
        <v>18</v>
      </c>
      <c r="T9" s="8">
        <f t="array" ref="T9">XLOOKUP(S9, MAPK8IP3, B3:B1000, XLOOKUP(S9, ZC4H2, H3:H1000, XLOOKUP(S9, SLC6A1, N3:N1000)))</f>
        <v>6</v>
      </c>
      <c r="U9" s="8">
        <f t="array" ref="U9">XLOOKUP(S9, MAPK8IP3, C3:C1000, XLOOKUP(S9, ZC4H2, I3:I1000, XLOOKUP(S9, SLC6A1, O3:O1000)))</f>
        <v>3</v>
      </c>
      <c r="V9" s="7" t="b">
        <f t="array" ref="V9">XLOOKUP(S9, MAPK8IP3, D3:D1000, XLOOKUP(S9, ZC4H2, J3:J1000, XLOOKUP(S9, SLC6A1, P3:P1000)))</f>
        <v>0</v>
      </c>
    </row>
    <row r="10">
      <c r="A10" s="7" t="str">
        <f>IFERROR(__xludf.DUMMYFUNCTION("""COMPUTED_VALUE"""),"Buspirone")</f>
        <v>Buspirone</v>
      </c>
      <c r="B10" s="8">
        <f>IFERROR(__xludf.DUMMYFUNCTION("""COMPUTED_VALUE"""),6.0)</f>
        <v>6</v>
      </c>
      <c r="C10" s="8">
        <f>IFERROR(__xludf.DUMMYFUNCTION("""COMPUTED_VALUE"""),3.0)</f>
        <v>3</v>
      </c>
      <c r="D10" s="7" t="b">
        <f>IFERROR(__xludf.DUMMYFUNCTION("""COMPUTED_VALUE"""),TRUE)</f>
        <v>1</v>
      </c>
      <c r="E10" s="7" t="b">
        <f>IFERROR(__xludf.DUMMYFUNCTION("""COMPUTED_VALUE"""),TRUE)</f>
        <v>1</v>
      </c>
      <c r="G10" s="7" t="str">
        <f>IFERROR(__xludf.DUMMYFUNCTION("""COMPUTED_VALUE"""),"Clindamycin")</f>
        <v>Clindamycin</v>
      </c>
      <c r="H10" s="8">
        <f>IFERROR(__xludf.DUMMYFUNCTION("""COMPUTED_VALUE"""),6.0)</f>
        <v>6</v>
      </c>
      <c r="I10" s="8">
        <f>IFERROR(__xludf.DUMMYFUNCTION("""COMPUTED_VALUE"""),3.0)</f>
        <v>3</v>
      </c>
      <c r="J10" s="7" t="b">
        <f>IFERROR(__xludf.DUMMYFUNCTION("""COMPUTED_VALUE"""),FALSE)</f>
        <v>0</v>
      </c>
      <c r="K10" s="7" t="b">
        <f>IFERROR(__xludf.DUMMYFUNCTION("""COMPUTED_VALUE"""),FALSE)</f>
        <v>0</v>
      </c>
      <c r="M10" s="7" t="str">
        <f>IFERROR(__xludf.DUMMYFUNCTION("""COMPUTED_VALUE"""),"Atomoxetine")</f>
        <v>Atomoxetine</v>
      </c>
      <c r="N10" s="8">
        <f>IFERROR(__xludf.DUMMYFUNCTION("""COMPUTED_VALUE"""),5.0)</f>
        <v>5</v>
      </c>
      <c r="O10" s="8">
        <f>IFERROR(__xludf.DUMMYFUNCTION("""COMPUTED_VALUE"""),3.0)</f>
        <v>3</v>
      </c>
      <c r="P10" s="7" t="b">
        <f>IFERROR(__xludf.DUMMYFUNCTION("""COMPUTED_VALUE"""),FALSE)</f>
        <v>0</v>
      </c>
      <c r="Q10" s="7" t="b">
        <f>IFERROR(__xludf.DUMMYFUNCTION("""COMPUTED_VALUE"""),FALSE)</f>
        <v>0</v>
      </c>
      <c r="S10" s="7" t="s">
        <v>19</v>
      </c>
      <c r="T10" s="8">
        <f t="array" ref="T10">XLOOKUP(S10, MAPK8IP3, B3:B1000, XLOOKUP(S10, ZC4H2, H3:H1000, XLOOKUP(S10, SLC6A1, N3:N1000)))</f>
        <v>2</v>
      </c>
      <c r="U10" s="8">
        <f t="array" ref="U10">XLOOKUP(S10, MAPK8IP3, C3:C1000, XLOOKUP(S10, ZC4H2, I3:I1000, XLOOKUP(S10, SLC6A1, O3:O1000)))</f>
        <v>3</v>
      </c>
      <c r="V10" s="7" t="b">
        <f t="array" ref="V10">XLOOKUP(S10, MAPK8IP3, D3:D1000, XLOOKUP(S10, ZC4H2, J3:J1000, XLOOKUP(S10, SLC6A1, P3:P1000)))</f>
        <v>0</v>
      </c>
    </row>
    <row r="11">
      <c r="A11" s="7" t="str">
        <f>IFERROR(__xludf.DUMMYFUNCTION("""COMPUTED_VALUE"""),"Citalopram")</f>
        <v>Citalopram</v>
      </c>
      <c r="B11" s="8">
        <f>IFERROR(__xludf.DUMMYFUNCTION("""COMPUTED_VALUE"""),6.0)</f>
        <v>6</v>
      </c>
      <c r="C11" s="8">
        <f>IFERROR(__xludf.DUMMYFUNCTION("""COMPUTED_VALUE"""),3.0)</f>
        <v>3</v>
      </c>
      <c r="D11" s="7" t="b">
        <f>IFERROR(__xludf.DUMMYFUNCTION("""COMPUTED_VALUE"""),TRUE)</f>
        <v>1</v>
      </c>
      <c r="E11" s="7" t="b">
        <f>IFERROR(__xludf.DUMMYFUNCTION("""COMPUTED_VALUE"""),TRUE)</f>
        <v>1</v>
      </c>
      <c r="G11" s="7" t="str">
        <f>IFERROR(__xludf.DUMMYFUNCTION("""COMPUTED_VALUE"""),"Clonidine")</f>
        <v>Clonidine</v>
      </c>
      <c r="H11" s="8">
        <f>IFERROR(__xludf.DUMMYFUNCTION("""COMPUTED_VALUE"""),6.0)</f>
        <v>6</v>
      </c>
      <c r="I11" s="8">
        <f>IFERROR(__xludf.DUMMYFUNCTION("""COMPUTED_VALUE"""),3.0)</f>
        <v>3</v>
      </c>
      <c r="J11" s="7" t="b">
        <f>IFERROR(__xludf.DUMMYFUNCTION("""COMPUTED_VALUE"""),FALSE)</f>
        <v>0</v>
      </c>
      <c r="K11" s="7" t="b">
        <f>IFERROR(__xludf.DUMMYFUNCTION("""COMPUTED_VALUE"""),FALSE)</f>
        <v>0</v>
      </c>
      <c r="M11" s="9" t="str">
        <f>IFERROR(__xludf.DUMMYFUNCTION("""COMPUTED_VALUE"""),"Baclofen")</f>
        <v>Baclofen</v>
      </c>
      <c r="N11" s="8">
        <f>IFERROR(__xludf.DUMMYFUNCTION("""COMPUTED_VALUE"""),3.0)</f>
        <v>3</v>
      </c>
      <c r="O11" s="8">
        <f>IFERROR(__xludf.DUMMYFUNCTION("""COMPUTED_VALUE"""),3.0)</f>
        <v>3</v>
      </c>
      <c r="P11" s="7" t="b">
        <f>IFERROR(__xludf.DUMMYFUNCTION("""COMPUTED_VALUE"""),TRUE)</f>
        <v>1</v>
      </c>
      <c r="Q11" s="7" t="b">
        <f>IFERROR(__xludf.DUMMYFUNCTION("""COMPUTED_VALUE"""),FALSE)</f>
        <v>0</v>
      </c>
      <c r="S11" s="7" t="s">
        <v>20</v>
      </c>
      <c r="T11" s="7">
        <f t="array" ref="T11">XLOOKUP(S11, MAPK8IP3, B3:B1000, XLOOKUP(S11, ZC4H2, H3:H1000, XLOOKUP(S11, SLC6A1, N3:N1000)))</f>
        <v>0</v>
      </c>
      <c r="U11" s="7">
        <f t="array" ref="U11">XLOOKUP(S11, MAPK8IP3, C3:C1000, XLOOKUP(S11, ZC4H2, I3:I1000, XLOOKUP(S11, SLC6A1, O3:O1000)))</f>
        <v>3</v>
      </c>
      <c r="V11" s="7" t="b">
        <f t="array" ref="V11">XLOOKUP(S11, MAPK8IP3, D3:D1000, XLOOKUP(S11, ZC4H2, J3:J1000, XLOOKUP(S11, SLC6A1, P3:P1000)))</f>
        <v>0</v>
      </c>
    </row>
    <row r="12">
      <c r="A12" s="7" t="str">
        <f>IFERROR(__xludf.DUMMYFUNCTION("""COMPUTED_VALUE"""),"Clonidine")</f>
        <v>Clonidine</v>
      </c>
      <c r="B12" s="8">
        <f>IFERROR(__xludf.DUMMYFUNCTION("""COMPUTED_VALUE"""),6.0)</f>
        <v>6</v>
      </c>
      <c r="C12" s="8">
        <f>IFERROR(__xludf.DUMMYFUNCTION("""COMPUTED_VALUE"""),3.0)</f>
        <v>3</v>
      </c>
      <c r="D12" s="7" t="b">
        <f>IFERROR(__xludf.DUMMYFUNCTION("""COMPUTED_VALUE"""),FALSE)</f>
        <v>0</v>
      </c>
      <c r="E12" s="7" t="b">
        <f>IFERROR(__xludf.DUMMYFUNCTION("""COMPUTED_VALUE"""),FALSE)</f>
        <v>0</v>
      </c>
      <c r="G12" s="7" t="str">
        <f>IFERROR(__xludf.DUMMYFUNCTION("""COMPUTED_VALUE"""),"Cyproheptadine")</f>
        <v>Cyproheptadine</v>
      </c>
      <c r="H12" s="8">
        <f>IFERROR(__xludf.DUMMYFUNCTION("""COMPUTED_VALUE"""),6.0)</f>
        <v>6</v>
      </c>
      <c r="I12" s="8">
        <f>IFERROR(__xludf.DUMMYFUNCTION("""COMPUTED_VALUE"""),3.0)</f>
        <v>3</v>
      </c>
      <c r="J12" s="7" t="b">
        <f>IFERROR(__xludf.DUMMYFUNCTION("""COMPUTED_VALUE"""),FALSE)</f>
        <v>0</v>
      </c>
      <c r="K12" s="7" t="b">
        <f>IFERROR(__xludf.DUMMYFUNCTION("""COMPUTED_VALUE"""),FALSE)</f>
        <v>0</v>
      </c>
      <c r="M12" s="7" t="str">
        <f>IFERROR(__xludf.DUMMYFUNCTION("""COMPUTED_VALUE"""),"Betamethasone")</f>
        <v>Betamethasone</v>
      </c>
      <c r="N12" s="8">
        <f>IFERROR(__xludf.DUMMYFUNCTION("""COMPUTED_VALUE"""),6.0)</f>
        <v>6</v>
      </c>
      <c r="O12" s="8">
        <f>IFERROR(__xludf.DUMMYFUNCTION("""COMPUTED_VALUE"""),3.0)</f>
        <v>3</v>
      </c>
      <c r="P12" s="7" t="b">
        <f>IFERROR(__xludf.DUMMYFUNCTION("""COMPUTED_VALUE"""),FALSE)</f>
        <v>0</v>
      </c>
      <c r="Q12" s="7" t="b">
        <f>IFERROR(__xludf.DUMMYFUNCTION("""COMPUTED_VALUE"""),FALSE)</f>
        <v>0</v>
      </c>
      <c r="S12" s="7" t="s">
        <v>21</v>
      </c>
      <c r="T12" s="8">
        <f t="array" ref="T12">XLOOKUP(S12, MAPK8IP3, B3:B1000, XLOOKUP(S12, ZC4H2, H3:H1000, XLOOKUP(S12, SLC6A1, N3:N1000)))</f>
        <v>1</v>
      </c>
      <c r="U12" s="8">
        <f t="array" ref="U12">XLOOKUP(S12, MAPK8IP3, C3:C1000, XLOOKUP(S12, ZC4H2, I3:I1000, XLOOKUP(S12, SLC6A1, O3:O1000)))</f>
        <v>3</v>
      </c>
      <c r="V12" s="7" t="b">
        <f t="array" ref="V12">XLOOKUP(S12, MAPK8IP3, D3:D1000, XLOOKUP(S12, ZC4H2, J3:J1000, XLOOKUP(S12, SLC6A1, P3:P1000)))</f>
        <v>0</v>
      </c>
    </row>
    <row r="13">
      <c r="A13" s="7" t="str">
        <f>IFERROR(__xludf.DUMMYFUNCTION("""COMPUTED_VALUE"""),"Cyproheptadine")</f>
        <v>Cyproheptadine</v>
      </c>
      <c r="B13" s="8">
        <f>IFERROR(__xludf.DUMMYFUNCTION("""COMPUTED_VALUE"""),6.0)</f>
        <v>6</v>
      </c>
      <c r="C13" s="8">
        <f>IFERROR(__xludf.DUMMYFUNCTION("""COMPUTED_VALUE"""),3.0)</f>
        <v>3</v>
      </c>
      <c r="D13" s="7" t="b">
        <f>IFERROR(__xludf.DUMMYFUNCTION("""COMPUTED_VALUE"""),FALSE)</f>
        <v>0</v>
      </c>
      <c r="E13" s="7" t="b">
        <f>IFERROR(__xludf.DUMMYFUNCTION("""COMPUTED_VALUE"""),FALSE)</f>
        <v>0</v>
      </c>
      <c r="G13" s="7" t="str">
        <f>IFERROR(__xludf.DUMMYFUNCTION("""COMPUTED_VALUE"""),"Desvenlafaxine")</f>
        <v>Desvenlafaxine</v>
      </c>
      <c r="H13" s="8">
        <f>IFERROR(__xludf.DUMMYFUNCTION("""COMPUTED_VALUE"""),6.0)</f>
        <v>6</v>
      </c>
      <c r="I13" s="8">
        <f>IFERROR(__xludf.DUMMYFUNCTION("""COMPUTED_VALUE"""),3.0)</f>
        <v>3</v>
      </c>
      <c r="J13" s="7" t="b">
        <f>IFERROR(__xludf.DUMMYFUNCTION("""COMPUTED_VALUE"""),FALSE)</f>
        <v>0</v>
      </c>
      <c r="K13" s="7" t="b">
        <f>IFERROR(__xludf.DUMMYFUNCTION("""COMPUTED_VALUE"""),FALSE)</f>
        <v>0</v>
      </c>
      <c r="M13" s="7" t="str">
        <f>IFERROR(__xludf.DUMMYFUNCTION("""COMPUTED_VALUE"""),"Biotin")</f>
        <v>Biotin</v>
      </c>
      <c r="N13" s="8">
        <f>IFERROR(__xludf.DUMMYFUNCTION("""COMPUTED_VALUE"""),6.0)</f>
        <v>6</v>
      </c>
      <c r="O13" s="8">
        <f>IFERROR(__xludf.DUMMYFUNCTION("""COMPUTED_VALUE"""),3.0)</f>
        <v>3</v>
      </c>
      <c r="P13" s="7" t="b">
        <f>IFERROR(__xludf.DUMMYFUNCTION("""COMPUTED_VALUE"""),FALSE)</f>
        <v>0</v>
      </c>
      <c r="Q13" s="7" t="b">
        <f>IFERROR(__xludf.DUMMYFUNCTION("""COMPUTED_VALUE"""),FALSE)</f>
        <v>0</v>
      </c>
      <c r="S13" s="7" t="s">
        <v>22</v>
      </c>
      <c r="T13" s="8">
        <f t="array" ref="T13">XLOOKUP(S13, MAPK8IP3, B3:B1000, XLOOKUP(S13, ZC4H2, H3:H1000, XLOOKUP(S13, SLC6A1, N3:N1000)))</f>
        <v>1</v>
      </c>
      <c r="U13" s="8">
        <f t="array" ref="U13">XLOOKUP(S13, MAPK8IP3, C3:C1000, XLOOKUP(S13, ZC4H2, I3:I1000, XLOOKUP(S13, SLC6A1, O3:O1000)))</f>
        <v>3</v>
      </c>
      <c r="V13" s="7" t="b">
        <f t="array" ref="V13">XLOOKUP(S13, MAPK8IP3, D3:D1000, XLOOKUP(S13, ZC4H2, J3:J1000, XLOOKUP(S13, SLC6A1, P3:P1000)))</f>
        <v>0</v>
      </c>
    </row>
    <row r="14">
      <c r="A14" s="7" t="str">
        <f>IFERROR(__xludf.DUMMYFUNCTION("""COMPUTED_VALUE"""),"Dantrolene")</f>
        <v>Dantrolene</v>
      </c>
      <c r="B14" s="8">
        <f>IFERROR(__xludf.DUMMYFUNCTION("""COMPUTED_VALUE"""),6.0)</f>
        <v>6</v>
      </c>
      <c r="C14" s="8">
        <f>IFERROR(__xludf.DUMMYFUNCTION("""COMPUTED_VALUE"""),3.0)</f>
        <v>3</v>
      </c>
      <c r="D14" s="7" t="b">
        <f>IFERROR(__xludf.DUMMYFUNCTION("""COMPUTED_VALUE"""),TRUE)</f>
        <v>1</v>
      </c>
      <c r="E14" s="7" t="b">
        <f>IFERROR(__xludf.DUMMYFUNCTION("""COMPUTED_VALUE"""),TRUE)</f>
        <v>1</v>
      </c>
      <c r="G14" s="7" t="str">
        <f>IFERROR(__xludf.DUMMYFUNCTION("""COMPUTED_VALUE"""),"Escitalopram")</f>
        <v>Escitalopram</v>
      </c>
      <c r="H14" s="8">
        <f>IFERROR(__xludf.DUMMYFUNCTION("""COMPUTED_VALUE"""),6.0)</f>
        <v>6</v>
      </c>
      <c r="I14" s="8">
        <f>IFERROR(__xludf.DUMMYFUNCTION("""COMPUTED_VALUE"""),3.0)</f>
        <v>3</v>
      </c>
      <c r="J14" s="7" t="b">
        <f>IFERROR(__xludf.DUMMYFUNCTION("""COMPUTED_VALUE"""),TRUE)</f>
        <v>1</v>
      </c>
      <c r="K14" s="7" t="b">
        <f>IFERROR(__xludf.DUMMYFUNCTION("""COMPUTED_VALUE"""),FALSE)</f>
        <v>0</v>
      </c>
      <c r="M14" s="7" t="str">
        <f>IFERROR(__xludf.DUMMYFUNCTION("""COMPUTED_VALUE"""),"Bisoprolol")</f>
        <v>Bisoprolol</v>
      </c>
      <c r="N14" s="8">
        <f>IFERROR(__xludf.DUMMYFUNCTION("""COMPUTED_VALUE"""),2.0)</f>
        <v>2</v>
      </c>
      <c r="O14" s="8">
        <f>IFERROR(__xludf.DUMMYFUNCTION("""COMPUTED_VALUE"""),3.0)</f>
        <v>3</v>
      </c>
      <c r="P14" s="7" t="b">
        <f>IFERROR(__xludf.DUMMYFUNCTION("""COMPUTED_VALUE"""),FALSE)</f>
        <v>0</v>
      </c>
      <c r="Q14" s="7" t="b">
        <f>IFERROR(__xludf.DUMMYFUNCTION("""COMPUTED_VALUE"""),FALSE)</f>
        <v>0</v>
      </c>
      <c r="S14" s="7" t="s">
        <v>23</v>
      </c>
      <c r="T14" s="8">
        <f t="array" ref="T14">XLOOKUP(S14, MAPK8IP3, B3:B1000, XLOOKUP(S14, ZC4H2, H3:H1000, XLOOKUP(S14, SLC6A1, N3:N1000)))</f>
        <v>5</v>
      </c>
      <c r="U14" s="8">
        <f t="array" ref="U14">XLOOKUP(S14, MAPK8IP3, C3:C1000, XLOOKUP(S14, ZC4H2, I3:I1000, XLOOKUP(S14, SLC6A1, O3:O1000)))</f>
        <v>3</v>
      </c>
      <c r="V14" s="7" t="b">
        <f t="array" ref="V14">XLOOKUP(S14, MAPK8IP3, D3:D1000, XLOOKUP(S14, ZC4H2, J3:J1000, XLOOKUP(S14, SLC6A1, P3:P1000)))</f>
        <v>0</v>
      </c>
    </row>
    <row r="15">
      <c r="A15" s="7" t="str">
        <f>IFERROR(__xludf.DUMMYFUNCTION("""COMPUTED_VALUE"""),"Desvenlafaxine")</f>
        <v>Desvenlafaxine</v>
      </c>
      <c r="B15" s="8">
        <f>IFERROR(__xludf.DUMMYFUNCTION("""COMPUTED_VALUE"""),6.0)</f>
        <v>6</v>
      </c>
      <c r="C15" s="8">
        <f>IFERROR(__xludf.DUMMYFUNCTION("""COMPUTED_VALUE"""),3.0)</f>
        <v>3</v>
      </c>
      <c r="D15" s="7" t="b">
        <f>IFERROR(__xludf.DUMMYFUNCTION("""COMPUTED_VALUE"""),FALSE)</f>
        <v>0</v>
      </c>
      <c r="E15" s="7" t="b">
        <f>IFERROR(__xludf.DUMMYFUNCTION("""COMPUTED_VALUE"""),FALSE)</f>
        <v>0</v>
      </c>
      <c r="G15" s="7" t="str">
        <f>IFERROR(__xludf.DUMMYFUNCTION("""COMPUTED_VALUE"""),"Fluvoxamine")</f>
        <v>Fluvoxamine</v>
      </c>
      <c r="H15" s="8">
        <f>IFERROR(__xludf.DUMMYFUNCTION("""COMPUTED_VALUE"""),6.0)</f>
        <v>6</v>
      </c>
      <c r="I15" s="8">
        <f>IFERROR(__xludf.DUMMYFUNCTION("""COMPUTED_VALUE"""),3.0)</f>
        <v>3</v>
      </c>
      <c r="J15" s="7" t="b">
        <f>IFERROR(__xludf.DUMMYFUNCTION("""COMPUTED_VALUE"""),TRUE)</f>
        <v>1</v>
      </c>
      <c r="K15" s="7" t="b">
        <f>IFERROR(__xludf.DUMMYFUNCTION("""COMPUTED_VALUE"""),FALSE)</f>
        <v>0</v>
      </c>
      <c r="M15" s="7" t="str">
        <f>IFERROR(__xludf.DUMMYFUNCTION("""COMPUTED_VALUE"""),"Budesonide")</f>
        <v>Budesonide</v>
      </c>
      <c r="N15" s="8">
        <f>IFERROR(__xludf.DUMMYFUNCTION("""COMPUTED_VALUE"""),6.0)</f>
        <v>6</v>
      </c>
      <c r="O15" s="8">
        <f>IFERROR(__xludf.DUMMYFUNCTION("""COMPUTED_VALUE"""),3.0)</f>
        <v>3</v>
      </c>
      <c r="P15" s="7" t="b">
        <f>IFERROR(__xludf.DUMMYFUNCTION("""COMPUTED_VALUE"""),FALSE)</f>
        <v>0</v>
      </c>
      <c r="Q15" s="7" t="b">
        <f>IFERROR(__xludf.DUMMYFUNCTION("""COMPUTED_VALUE"""),FALSE)</f>
        <v>0</v>
      </c>
      <c r="S15" s="7" t="s">
        <v>24</v>
      </c>
      <c r="T15" s="8">
        <f t="array" ref="T15">XLOOKUP(S15, MAPK8IP3, B3:B1000, XLOOKUP(S15, ZC4H2, H3:H1000, XLOOKUP(S15, SLC6A1, N3:N1000)))</f>
        <v>6</v>
      </c>
      <c r="U15" s="8">
        <f t="array" ref="U15">XLOOKUP(S15, MAPK8IP3, C3:C1000, XLOOKUP(S15, ZC4H2, I3:I1000, XLOOKUP(S15, SLC6A1, O3:O1000)))</f>
        <v>3</v>
      </c>
      <c r="V15" s="7" t="b">
        <f t="array" ref="V15">XLOOKUP(S15, MAPK8IP3, D3:D1000, XLOOKUP(S15, ZC4H2, J3:J1000, XLOOKUP(S15, SLC6A1, P3:P1000)))</f>
        <v>0</v>
      </c>
    </row>
    <row r="16">
      <c r="A16" s="7" t="str">
        <f>IFERROR(__xludf.DUMMYFUNCTION("""COMPUTED_VALUE"""),"Escitalopram")</f>
        <v>Escitalopram</v>
      </c>
      <c r="B16" s="8">
        <f>IFERROR(__xludf.DUMMYFUNCTION("""COMPUTED_VALUE"""),6.0)</f>
        <v>6</v>
      </c>
      <c r="C16" s="8">
        <f>IFERROR(__xludf.DUMMYFUNCTION("""COMPUTED_VALUE"""),3.0)</f>
        <v>3</v>
      </c>
      <c r="D16" s="7" t="b">
        <f>IFERROR(__xludf.DUMMYFUNCTION("""COMPUTED_VALUE"""),TRUE)</f>
        <v>1</v>
      </c>
      <c r="E16" s="7" t="b">
        <f>IFERROR(__xludf.DUMMYFUNCTION("""COMPUTED_VALUE"""),TRUE)</f>
        <v>1</v>
      </c>
      <c r="G16" s="7" t="str">
        <f>IFERROR(__xludf.DUMMYFUNCTION("""COMPUTED_VALUE"""),"Gabapentin")</f>
        <v>Gabapentin</v>
      </c>
      <c r="H16" s="8">
        <f>IFERROR(__xludf.DUMMYFUNCTION("""COMPUTED_VALUE"""),6.0)</f>
        <v>6</v>
      </c>
      <c r="I16" s="8">
        <f>IFERROR(__xludf.DUMMYFUNCTION("""COMPUTED_VALUE"""),3.0)</f>
        <v>3</v>
      </c>
      <c r="J16" s="7" t="b">
        <f>IFERROR(__xludf.DUMMYFUNCTION("""COMPUTED_VALUE"""),TRUE)</f>
        <v>1</v>
      </c>
      <c r="K16" s="7" t="b">
        <f>IFERROR(__xludf.DUMMYFUNCTION("""COMPUTED_VALUE"""),FALSE)</f>
        <v>0</v>
      </c>
      <c r="M16" s="7" t="str">
        <f>IFERROR(__xludf.DUMMYFUNCTION("""COMPUTED_VALUE"""),"Buspirone")</f>
        <v>Buspirone</v>
      </c>
      <c r="N16" s="8">
        <f>IFERROR(__xludf.DUMMYFUNCTION("""COMPUTED_VALUE"""),6.0)</f>
        <v>6</v>
      </c>
      <c r="O16" s="8">
        <f>IFERROR(__xludf.DUMMYFUNCTION("""COMPUTED_VALUE"""),3.0)</f>
        <v>3</v>
      </c>
      <c r="P16" s="7" t="b">
        <f>IFERROR(__xludf.DUMMYFUNCTION("""COMPUTED_VALUE"""),TRUE)</f>
        <v>1</v>
      </c>
      <c r="Q16" s="7" t="b">
        <f>IFERROR(__xludf.DUMMYFUNCTION("""COMPUTED_VALUE"""),FALSE)</f>
        <v>0</v>
      </c>
      <c r="S16" s="7" t="s">
        <v>25</v>
      </c>
      <c r="T16" s="8">
        <f t="array" ref="T16">XLOOKUP(S16, MAPK8IP3, B3:B1000, XLOOKUP(S16, ZC4H2, H3:H1000, XLOOKUP(S16, SLC6A1, N3:N1000)))</f>
        <v>3</v>
      </c>
      <c r="U16" s="8">
        <f t="array" ref="U16">XLOOKUP(S16, MAPK8IP3, C3:C1000, XLOOKUP(S16, ZC4H2, I3:I1000, XLOOKUP(S16, SLC6A1, O3:O1000)))</f>
        <v>3</v>
      </c>
      <c r="V16" s="7" t="b">
        <f t="array" ref="V16">XLOOKUP(S16, MAPK8IP3, D3:D1000, XLOOKUP(S16, ZC4H2, J3:J1000, XLOOKUP(S16, SLC6A1, P3:P1000)))</f>
        <v>1</v>
      </c>
    </row>
    <row r="17">
      <c r="A17" s="7" t="str">
        <f>IFERROR(__xludf.DUMMYFUNCTION("""COMPUTED_VALUE"""),"Fluvoxamine")</f>
        <v>Fluvoxamine</v>
      </c>
      <c r="B17" s="8">
        <f>IFERROR(__xludf.DUMMYFUNCTION("""COMPUTED_VALUE"""),6.0)</f>
        <v>6</v>
      </c>
      <c r="C17" s="8">
        <f>IFERROR(__xludf.DUMMYFUNCTION("""COMPUTED_VALUE"""),3.0)</f>
        <v>3</v>
      </c>
      <c r="D17" s="7" t="b">
        <f>IFERROR(__xludf.DUMMYFUNCTION("""COMPUTED_VALUE"""),TRUE)</f>
        <v>1</v>
      </c>
      <c r="E17" s="7" t="b">
        <f>IFERROR(__xludf.DUMMYFUNCTION("""COMPUTED_VALUE"""),TRUE)</f>
        <v>1</v>
      </c>
      <c r="G17" s="7" t="str">
        <f>IFERROR(__xludf.DUMMYFUNCTION("""COMPUTED_VALUE"""),"Glutamic acid")</f>
        <v>Glutamic acid</v>
      </c>
      <c r="H17" s="8">
        <f>IFERROR(__xludf.DUMMYFUNCTION("""COMPUTED_VALUE"""),6.0)</f>
        <v>6</v>
      </c>
      <c r="I17" s="8">
        <f>IFERROR(__xludf.DUMMYFUNCTION("""COMPUTED_VALUE"""),3.0)</f>
        <v>3</v>
      </c>
      <c r="J17" s="7" t="b">
        <f>IFERROR(__xludf.DUMMYFUNCTION("""COMPUTED_VALUE"""),FALSE)</f>
        <v>0</v>
      </c>
      <c r="K17" s="7" t="b">
        <f>IFERROR(__xludf.DUMMYFUNCTION("""COMPUTED_VALUE"""),FALSE)</f>
        <v>0</v>
      </c>
      <c r="M17" s="7" t="str">
        <f>IFERROR(__xludf.DUMMYFUNCTION("""COMPUTED_VALUE"""),"Butorphanol")</f>
        <v>Butorphanol</v>
      </c>
      <c r="N17" s="8">
        <f>IFERROR(__xludf.DUMMYFUNCTION("""COMPUTED_VALUE"""),1.0)</f>
        <v>1</v>
      </c>
      <c r="O17" s="8">
        <f>IFERROR(__xludf.DUMMYFUNCTION("""COMPUTED_VALUE"""),3.0)</f>
        <v>3</v>
      </c>
      <c r="P17" s="7" t="b">
        <f>IFERROR(__xludf.DUMMYFUNCTION("""COMPUTED_VALUE"""),FALSE)</f>
        <v>0</v>
      </c>
      <c r="Q17" s="7" t="b">
        <f>IFERROR(__xludf.DUMMYFUNCTION("""COMPUTED_VALUE"""),FALSE)</f>
        <v>0</v>
      </c>
      <c r="S17" s="7" t="s">
        <v>26</v>
      </c>
      <c r="T17" s="8">
        <f t="array" ref="T17">XLOOKUP(S17, MAPK8IP3, B3:B1000, XLOOKUP(S17, ZC4H2, H3:H1000, XLOOKUP(S17, SLC6A1, N3:N1000)))</f>
        <v>2</v>
      </c>
      <c r="U17" s="8">
        <f t="array" ref="U17">XLOOKUP(S17, MAPK8IP3, C3:C1000, XLOOKUP(S17, ZC4H2, I3:I1000, XLOOKUP(S17, SLC6A1, O3:O1000)))</f>
        <v>3</v>
      </c>
      <c r="V17" s="7" t="b">
        <f t="array" ref="V17">XLOOKUP(S17, MAPK8IP3, D3:D1000, XLOOKUP(S17, ZC4H2, J3:J1000, XLOOKUP(S17, SLC6A1, P3:P1000)))</f>
        <v>0</v>
      </c>
    </row>
    <row r="18">
      <c r="A18" s="7" t="str">
        <f>IFERROR(__xludf.DUMMYFUNCTION("""COMPUTED_VALUE"""),"Gabapentin")</f>
        <v>Gabapentin</v>
      </c>
      <c r="B18" s="8">
        <f>IFERROR(__xludf.DUMMYFUNCTION("""COMPUTED_VALUE"""),6.0)</f>
        <v>6</v>
      </c>
      <c r="C18" s="8">
        <f>IFERROR(__xludf.DUMMYFUNCTION("""COMPUTED_VALUE"""),3.0)</f>
        <v>3</v>
      </c>
      <c r="D18" s="7" t="b">
        <f>IFERROR(__xludf.DUMMYFUNCTION("""COMPUTED_VALUE"""),TRUE)</f>
        <v>1</v>
      </c>
      <c r="E18" s="7" t="b">
        <f>IFERROR(__xludf.DUMMYFUNCTION("""COMPUTED_VALUE"""),TRUE)</f>
        <v>1</v>
      </c>
      <c r="G18" s="7" t="str">
        <f>IFERROR(__xludf.DUMMYFUNCTION("""COMPUTED_VALUE"""),"Hydroxyzine")</f>
        <v>Hydroxyzine</v>
      </c>
      <c r="H18" s="8">
        <f>IFERROR(__xludf.DUMMYFUNCTION("""COMPUTED_VALUE"""),6.0)</f>
        <v>6</v>
      </c>
      <c r="I18" s="8">
        <f>IFERROR(__xludf.DUMMYFUNCTION("""COMPUTED_VALUE"""),3.0)</f>
        <v>3</v>
      </c>
      <c r="J18" s="7" t="b">
        <f>IFERROR(__xludf.DUMMYFUNCTION("""COMPUTED_VALUE"""),FALSE)</f>
        <v>0</v>
      </c>
      <c r="K18" s="7" t="b">
        <f>IFERROR(__xludf.DUMMYFUNCTION("""COMPUTED_VALUE"""),FALSE)</f>
        <v>0</v>
      </c>
      <c r="M18" s="7" t="str">
        <f>IFERROR(__xludf.DUMMYFUNCTION("""COMPUTED_VALUE"""),"Calcitriol")</f>
        <v>Calcitriol</v>
      </c>
      <c r="N18" s="8">
        <f>IFERROR(__xludf.DUMMYFUNCTION("""COMPUTED_VALUE"""),5.0)</f>
        <v>5</v>
      </c>
      <c r="O18" s="8">
        <f>IFERROR(__xludf.DUMMYFUNCTION("""COMPUTED_VALUE"""),3.0)</f>
        <v>3</v>
      </c>
      <c r="P18" s="7" t="b">
        <f>IFERROR(__xludf.DUMMYFUNCTION("""COMPUTED_VALUE"""),FALSE)</f>
        <v>0</v>
      </c>
      <c r="Q18" s="7" t="b">
        <f>IFERROR(__xludf.DUMMYFUNCTION("""COMPUTED_VALUE"""),FALSE)</f>
        <v>0</v>
      </c>
      <c r="S18" s="7" t="s">
        <v>27</v>
      </c>
      <c r="T18" s="8">
        <f t="array" ref="T18">XLOOKUP(S18, MAPK8IP3, B3:B1000, XLOOKUP(S18, ZC4H2, H3:H1000, XLOOKUP(S18, SLC6A1, N3:N1000)))</f>
        <v>6</v>
      </c>
      <c r="U18" s="8">
        <f t="array" ref="U18">XLOOKUP(S18, MAPK8IP3, C3:C1000, XLOOKUP(S18, ZC4H2, I3:I1000, XLOOKUP(S18, SLC6A1, O3:O1000)))</f>
        <v>3</v>
      </c>
      <c r="V18" s="7" t="b">
        <f t="array" ref="V18">XLOOKUP(S18, MAPK8IP3, D3:D1000, XLOOKUP(S18, ZC4H2, J3:J1000, XLOOKUP(S18, SLC6A1, P3:P1000)))</f>
        <v>0</v>
      </c>
    </row>
    <row r="19">
      <c r="A19" s="7" t="str">
        <f>IFERROR(__xludf.DUMMYFUNCTION("""COMPUTED_VALUE"""),"Glutamic acid")</f>
        <v>Glutamic acid</v>
      </c>
      <c r="B19" s="8">
        <f>IFERROR(__xludf.DUMMYFUNCTION("""COMPUTED_VALUE"""),6.0)</f>
        <v>6</v>
      </c>
      <c r="C19" s="8">
        <f>IFERROR(__xludf.DUMMYFUNCTION("""COMPUTED_VALUE"""),3.0)</f>
        <v>3</v>
      </c>
      <c r="D19" s="7" t="b">
        <f>IFERROR(__xludf.DUMMYFUNCTION("""COMPUTED_VALUE"""),FALSE)</f>
        <v>0</v>
      </c>
      <c r="E19" s="7" t="b">
        <f>IFERROR(__xludf.DUMMYFUNCTION("""COMPUTED_VALUE"""),FALSE)</f>
        <v>0</v>
      </c>
      <c r="G19" s="7" t="str">
        <f>IFERROR(__xludf.DUMMYFUNCTION("""COMPUTED_VALUE"""),"Loratadine")</f>
        <v>Loratadine</v>
      </c>
      <c r="H19" s="8">
        <f>IFERROR(__xludf.DUMMYFUNCTION("""COMPUTED_VALUE"""),6.0)</f>
        <v>6</v>
      </c>
      <c r="I19" s="8">
        <f>IFERROR(__xludf.DUMMYFUNCTION("""COMPUTED_VALUE"""),3.0)</f>
        <v>3</v>
      </c>
      <c r="J19" s="7" t="b">
        <f>IFERROR(__xludf.DUMMYFUNCTION("""COMPUTED_VALUE"""),FALSE)</f>
        <v>0</v>
      </c>
      <c r="K19" s="7" t="b">
        <f>IFERROR(__xludf.DUMMYFUNCTION("""COMPUTED_VALUE"""),FALSE)</f>
        <v>0</v>
      </c>
      <c r="M19" s="7" t="str">
        <f>IFERROR(__xludf.DUMMYFUNCTION("""COMPUTED_VALUE"""),"Captopril")</f>
        <v>Captopril</v>
      </c>
      <c r="N19" s="8">
        <f>IFERROR(__xludf.DUMMYFUNCTION("""COMPUTED_VALUE"""),5.0)</f>
        <v>5</v>
      </c>
      <c r="O19" s="8">
        <f>IFERROR(__xludf.DUMMYFUNCTION("""COMPUTED_VALUE"""),3.0)</f>
        <v>3</v>
      </c>
      <c r="P19" s="7" t="b">
        <f>IFERROR(__xludf.DUMMYFUNCTION("""COMPUTED_VALUE"""),TRUE)</f>
        <v>1</v>
      </c>
      <c r="Q19" s="7" t="b">
        <f>IFERROR(__xludf.DUMMYFUNCTION("""COMPUTED_VALUE"""),FALSE)</f>
        <v>0</v>
      </c>
      <c r="S19" s="7" t="s">
        <v>28</v>
      </c>
      <c r="T19" s="8">
        <f t="array" ref="T19">XLOOKUP(S19, MAPK8IP3, B3:B1000, XLOOKUP(S19, ZC4H2, H3:H1000, XLOOKUP(S19, SLC6A1, N3:N1000)))</f>
        <v>6</v>
      </c>
      <c r="U19" s="8">
        <f t="array" ref="U19">XLOOKUP(S19, MAPK8IP3, C3:C1000, XLOOKUP(S19, ZC4H2, I3:I1000, XLOOKUP(S19, SLC6A1, O3:O1000)))</f>
        <v>3</v>
      </c>
      <c r="V19" s="7" t="b">
        <f t="array" ref="V19">XLOOKUP(S19, MAPK8IP3, D3:D1000, XLOOKUP(S19, ZC4H2, J3:J1000, XLOOKUP(S19, SLC6A1, P3:P1000)))</f>
        <v>0</v>
      </c>
    </row>
    <row r="20">
      <c r="A20" s="7" t="str">
        <f>IFERROR(__xludf.DUMMYFUNCTION("""COMPUTED_VALUE"""),"Loratadine")</f>
        <v>Loratadine</v>
      </c>
      <c r="B20" s="8">
        <f>IFERROR(__xludf.DUMMYFUNCTION("""COMPUTED_VALUE"""),6.0)</f>
        <v>6</v>
      </c>
      <c r="C20" s="8">
        <f>IFERROR(__xludf.DUMMYFUNCTION("""COMPUTED_VALUE"""),3.0)</f>
        <v>3</v>
      </c>
      <c r="D20" s="7" t="b">
        <f>IFERROR(__xludf.DUMMYFUNCTION("""COMPUTED_VALUE"""),FALSE)</f>
        <v>0</v>
      </c>
      <c r="E20" s="7" t="b">
        <f>IFERROR(__xludf.DUMMYFUNCTION("""COMPUTED_VALUE"""),FALSE)</f>
        <v>0</v>
      </c>
      <c r="G20" s="7" t="str">
        <f>IFERROR(__xludf.DUMMYFUNCTION("""COMPUTED_VALUE"""),"Lovastatin")</f>
        <v>Lovastatin</v>
      </c>
      <c r="H20" s="8">
        <f>IFERROR(__xludf.DUMMYFUNCTION("""COMPUTED_VALUE"""),6.0)</f>
        <v>6</v>
      </c>
      <c r="I20" s="8">
        <f>IFERROR(__xludf.DUMMYFUNCTION("""COMPUTED_VALUE"""),3.0)</f>
        <v>3</v>
      </c>
      <c r="J20" s="7" t="b">
        <f>IFERROR(__xludf.DUMMYFUNCTION("""COMPUTED_VALUE"""),TRUE)</f>
        <v>1</v>
      </c>
      <c r="K20" s="7" t="b">
        <f>IFERROR(__xludf.DUMMYFUNCTION("""COMPUTED_VALUE"""),FALSE)</f>
        <v>0</v>
      </c>
      <c r="M20" s="7" t="str">
        <f>IFERROR(__xludf.DUMMYFUNCTION("""COMPUTED_VALUE"""),"Chloroprocaine")</f>
        <v>Chloroprocaine</v>
      </c>
      <c r="N20" s="8">
        <f>IFERROR(__xludf.DUMMYFUNCTION("""COMPUTED_VALUE"""),0.0)</f>
        <v>0</v>
      </c>
      <c r="O20" s="8">
        <f>IFERROR(__xludf.DUMMYFUNCTION("""COMPUTED_VALUE"""),3.0)</f>
        <v>3</v>
      </c>
      <c r="P20" s="7" t="b">
        <f>IFERROR(__xludf.DUMMYFUNCTION("""COMPUTED_VALUE"""),FALSE)</f>
        <v>0</v>
      </c>
      <c r="Q20" s="7" t="b">
        <f>IFERROR(__xludf.DUMMYFUNCTION("""COMPUTED_VALUE"""),FALSE)</f>
        <v>0</v>
      </c>
      <c r="S20" s="7" t="s">
        <v>29</v>
      </c>
      <c r="T20" s="8">
        <f t="array" ref="T20">XLOOKUP(S20, MAPK8IP3, B3:B1000, XLOOKUP(S20, ZC4H2, H3:H1000, XLOOKUP(S20, SLC6A1, N3:N1000)))</f>
        <v>2</v>
      </c>
      <c r="U20" s="8">
        <f t="array" ref="U20">XLOOKUP(S20, MAPK8IP3, C3:C1000, XLOOKUP(S20, ZC4H2, I3:I1000, XLOOKUP(S20, SLC6A1, O3:O1000)))</f>
        <v>3</v>
      </c>
      <c r="V20" s="7" t="b">
        <f t="array" ref="V20">XLOOKUP(S20, MAPK8IP3, D3:D1000, XLOOKUP(S20, ZC4H2, J3:J1000, XLOOKUP(S20, SLC6A1, P3:P1000)))</f>
        <v>0</v>
      </c>
    </row>
    <row r="21">
      <c r="A21" s="7" t="str">
        <f>IFERROR(__xludf.DUMMYFUNCTION("""COMPUTED_VALUE"""),"Lovastatin")</f>
        <v>Lovastatin</v>
      </c>
      <c r="B21" s="8">
        <f>IFERROR(__xludf.DUMMYFUNCTION("""COMPUTED_VALUE"""),6.0)</f>
        <v>6</v>
      </c>
      <c r="C21" s="8">
        <f>IFERROR(__xludf.DUMMYFUNCTION("""COMPUTED_VALUE"""),3.0)</f>
        <v>3</v>
      </c>
      <c r="D21" s="7" t="b">
        <f>IFERROR(__xludf.DUMMYFUNCTION("""COMPUTED_VALUE"""),TRUE)</f>
        <v>1</v>
      </c>
      <c r="E21" s="7" t="b">
        <f>IFERROR(__xludf.DUMMYFUNCTION("""COMPUTED_VALUE"""),TRUE)</f>
        <v>1</v>
      </c>
      <c r="G21" s="7" t="str">
        <f>IFERROR(__xludf.DUMMYFUNCTION("""COMPUTED_VALUE"""),"Metformin")</f>
        <v>Metformin</v>
      </c>
      <c r="H21" s="8">
        <f>IFERROR(__xludf.DUMMYFUNCTION("""COMPUTED_VALUE"""),6.0)</f>
        <v>6</v>
      </c>
      <c r="I21" s="8">
        <f>IFERROR(__xludf.DUMMYFUNCTION("""COMPUTED_VALUE"""),3.0)</f>
        <v>3</v>
      </c>
      <c r="J21" s="7" t="b">
        <f>IFERROR(__xludf.DUMMYFUNCTION("""COMPUTED_VALUE"""),TRUE)</f>
        <v>1</v>
      </c>
      <c r="K21" s="7" t="b">
        <f>IFERROR(__xludf.DUMMYFUNCTION("""COMPUTED_VALUE"""),FALSE)</f>
        <v>0</v>
      </c>
      <c r="M21" s="7" t="str">
        <f>IFERROR(__xludf.DUMMYFUNCTION("""COMPUTED_VALUE"""),"Cholecalciferol")</f>
        <v>Cholecalciferol</v>
      </c>
      <c r="N21" s="8">
        <f>IFERROR(__xludf.DUMMYFUNCTION("""COMPUTED_VALUE"""),5.0)</f>
        <v>5</v>
      </c>
      <c r="O21" s="8">
        <f>IFERROR(__xludf.DUMMYFUNCTION("""COMPUTED_VALUE"""),3.0)</f>
        <v>3</v>
      </c>
      <c r="P21" s="7" t="b">
        <f>IFERROR(__xludf.DUMMYFUNCTION("""COMPUTED_VALUE"""),FALSE)</f>
        <v>0</v>
      </c>
      <c r="Q21" s="7" t="b">
        <f>IFERROR(__xludf.DUMMYFUNCTION("""COMPUTED_VALUE"""),FALSE)</f>
        <v>0</v>
      </c>
      <c r="S21" s="7" t="s">
        <v>30</v>
      </c>
      <c r="T21" s="8">
        <f t="array" ref="T21">XLOOKUP(S21, MAPK8IP3, B3:B1000, XLOOKUP(S21, ZC4H2, H3:H1000, XLOOKUP(S21, SLC6A1, N3:N1000)))</f>
        <v>6</v>
      </c>
      <c r="U21" s="8">
        <f t="array" ref="U21">XLOOKUP(S21, MAPK8IP3, C3:C1000, XLOOKUP(S21, ZC4H2, I3:I1000, XLOOKUP(S21, SLC6A1, O3:O1000)))</f>
        <v>3</v>
      </c>
      <c r="V21" s="7" t="b">
        <f t="array" ref="V21">XLOOKUP(S21, MAPK8IP3, D3:D1000, XLOOKUP(S21, ZC4H2, J3:J1000, XLOOKUP(S21, SLC6A1, P3:P1000)))</f>
        <v>0</v>
      </c>
    </row>
    <row r="22">
      <c r="A22" s="7" t="str">
        <f>IFERROR(__xludf.DUMMYFUNCTION("""COMPUTED_VALUE"""),"Metformin")</f>
        <v>Metformin</v>
      </c>
      <c r="B22" s="8">
        <f>IFERROR(__xludf.DUMMYFUNCTION("""COMPUTED_VALUE"""),6.0)</f>
        <v>6</v>
      </c>
      <c r="C22" s="8">
        <f>IFERROR(__xludf.DUMMYFUNCTION("""COMPUTED_VALUE"""),3.0)</f>
        <v>3</v>
      </c>
      <c r="D22" s="7" t="b">
        <f>IFERROR(__xludf.DUMMYFUNCTION("""COMPUTED_VALUE"""),TRUE)</f>
        <v>1</v>
      </c>
      <c r="E22" s="7" t="b">
        <f>IFERROR(__xludf.DUMMYFUNCTION("""COMPUTED_VALUE"""),TRUE)</f>
        <v>1</v>
      </c>
      <c r="G22" s="7" t="str">
        <f>IFERROR(__xludf.DUMMYFUNCTION("""COMPUTED_VALUE"""),"Metoprolol")</f>
        <v>Metoprolol</v>
      </c>
      <c r="H22" s="8">
        <f>IFERROR(__xludf.DUMMYFUNCTION("""COMPUTED_VALUE"""),6.0)</f>
        <v>6</v>
      </c>
      <c r="I22" s="8">
        <f>IFERROR(__xludf.DUMMYFUNCTION("""COMPUTED_VALUE"""),3.0)</f>
        <v>3</v>
      </c>
      <c r="J22" s="7" t="b">
        <f>IFERROR(__xludf.DUMMYFUNCTION("""COMPUTED_VALUE"""),FALSE)</f>
        <v>0</v>
      </c>
      <c r="K22" s="7" t="b">
        <f>IFERROR(__xludf.DUMMYFUNCTION("""COMPUTED_VALUE"""),FALSE)</f>
        <v>0</v>
      </c>
      <c r="M22" s="7" t="str">
        <f>IFERROR(__xludf.DUMMYFUNCTION("""COMPUTED_VALUE"""),"Ciclesonide")</f>
        <v>Ciclesonide</v>
      </c>
      <c r="N22" s="8">
        <f>IFERROR(__xludf.DUMMYFUNCTION("""COMPUTED_VALUE"""),2.0)</f>
        <v>2</v>
      </c>
      <c r="O22" s="8">
        <f>IFERROR(__xludf.DUMMYFUNCTION("""COMPUTED_VALUE"""),3.0)</f>
        <v>3</v>
      </c>
      <c r="P22" s="7" t="b">
        <f>IFERROR(__xludf.DUMMYFUNCTION("""COMPUTED_VALUE"""),FALSE)</f>
        <v>0</v>
      </c>
      <c r="Q22" s="7" t="b">
        <f>IFERROR(__xludf.DUMMYFUNCTION("""COMPUTED_VALUE"""),FALSE)</f>
        <v>0</v>
      </c>
      <c r="S22" s="7" t="s">
        <v>31</v>
      </c>
      <c r="T22" s="8">
        <f t="array" ref="T22">XLOOKUP(S22, MAPK8IP3, B3:B1000, XLOOKUP(S22, ZC4H2, H3:H1000, XLOOKUP(S22, SLC6A1, N3:N1000)))</f>
        <v>6</v>
      </c>
      <c r="U22" s="8">
        <f t="array" ref="U22">XLOOKUP(S22, MAPK8IP3, C3:C1000, XLOOKUP(S22, ZC4H2, I3:I1000, XLOOKUP(S22, SLC6A1, O3:O1000)))</f>
        <v>3</v>
      </c>
      <c r="V22" s="7" t="b">
        <f t="array" ref="V22">XLOOKUP(S22, MAPK8IP3, D3:D1000, XLOOKUP(S22, ZC4H2, J3:J1000, XLOOKUP(S22, SLC6A1, P3:P1000)))</f>
        <v>1</v>
      </c>
    </row>
    <row r="23">
      <c r="A23" s="7" t="str">
        <f>IFERROR(__xludf.DUMMYFUNCTION("""COMPUTED_VALUE"""),"Metoprolol")</f>
        <v>Metoprolol</v>
      </c>
      <c r="B23" s="8">
        <f>IFERROR(__xludf.DUMMYFUNCTION("""COMPUTED_VALUE"""),6.0)</f>
        <v>6</v>
      </c>
      <c r="C23" s="8">
        <f>IFERROR(__xludf.DUMMYFUNCTION("""COMPUTED_VALUE"""),3.0)</f>
        <v>3</v>
      </c>
      <c r="D23" s="7" t="b">
        <f>IFERROR(__xludf.DUMMYFUNCTION("""COMPUTED_VALUE"""),FALSE)</f>
        <v>0</v>
      </c>
      <c r="E23" s="7" t="b">
        <f>IFERROR(__xludf.DUMMYFUNCTION("""COMPUTED_VALUE"""),FALSE)</f>
        <v>0</v>
      </c>
      <c r="G23" s="7" t="str">
        <f>IFERROR(__xludf.DUMMYFUNCTION("""COMPUTED_VALUE"""),"Oseltamivir")</f>
        <v>Oseltamivir</v>
      </c>
      <c r="H23" s="8">
        <f>IFERROR(__xludf.DUMMYFUNCTION("""COMPUTED_VALUE"""),6.0)</f>
        <v>6</v>
      </c>
      <c r="I23" s="8">
        <f>IFERROR(__xludf.DUMMYFUNCTION("""COMPUTED_VALUE"""),3.0)</f>
        <v>3</v>
      </c>
      <c r="J23" s="7" t="b">
        <f>IFERROR(__xludf.DUMMYFUNCTION("""COMPUTED_VALUE"""),FALSE)</f>
        <v>0</v>
      </c>
      <c r="K23" s="7" t="b">
        <f>IFERROR(__xludf.DUMMYFUNCTION("""COMPUTED_VALUE"""),FALSE)</f>
        <v>0</v>
      </c>
      <c r="M23" s="7" t="str">
        <f>IFERROR(__xludf.DUMMYFUNCTION("""COMPUTED_VALUE"""),"Ciclopirox")</f>
        <v>Ciclopirox</v>
      </c>
      <c r="N23" s="8">
        <f>IFERROR(__xludf.DUMMYFUNCTION("""COMPUTED_VALUE"""),4.0)</f>
        <v>4</v>
      </c>
      <c r="O23" s="8">
        <f>IFERROR(__xludf.DUMMYFUNCTION("""COMPUTED_VALUE"""),3.0)</f>
        <v>3</v>
      </c>
      <c r="P23" s="7" t="b">
        <f>IFERROR(__xludf.DUMMYFUNCTION("""COMPUTED_VALUE"""),FALSE)</f>
        <v>0</v>
      </c>
      <c r="Q23" s="7" t="b">
        <f>IFERROR(__xludf.DUMMYFUNCTION("""COMPUTED_VALUE"""),FALSE)</f>
        <v>0</v>
      </c>
      <c r="S23" s="7" t="s">
        <v>32</v>
      </c>
      <c r="T23" s="8">
        <f t="array" ref="T23">XLOOKUP(S23, MAPK8IP3, B3:B1000, XLOOKUP(S23, ZC4H2, H3:H1000, XLOOKUP(S23, SLC6A1, N3:N1000)))</f>
        <v>1</v>
      </c>
      <c r="U23" s="8">
        <f t="array" ref="U23">XLOOKUP(S23, MAPK8IP3, C3:C1000, XLOOKUP(S23, ZC4H2, I3:I1000, XLOOKUP(S23, SLC6A1, O3:O1000)))</f>
        <v>3</v>
      </c>
      <c r="V23" s="7" t="b">
        <f t="array" ref="V23">XLOOKUP(S23, MAPK8IP3, D3:D1000, XLOOKUP(S23, ZC4H2, J3:J1000, XLOOKUP(S23, SLC6A1, P3:P1000)))</f>
        <v>0</v>
      </c>
    </row>
    <row r="24">
      <c r="A24" s="7" t="str">
        <f>IFERROR(__xludf.DUMMYFUNCTION("""COMPUTED_VALUE"""),"Oseltamivir")</f>
        <v>Oseltamivir</v>
      </c>
      <c r="B24" s="8">
        <f>IFERROR(__xludf.DUMMYFUNCTION("""COMPUTED_VALUE"""),6.0)</f>
        <v>6</v>
      </c>
      <c r="C24" s="8">
        <f>IFERROR(__xludf.DUMMYFUNCTION("""COMPUTED_VALUE"""),3.0)</f>
        <v>3</v>
      </c>
      <c r="D24" s="7" t="b">
        <f>IFERROR(__xludf.DUMMYFUNCTION("""COMPUTED_VALUE"""),FALSE)</f>
        <v>0</v>
      </c>
      <c r="E24" s="7" t="b">
        <f>IFERROR(__xludf.DUMMYFUNCTION("""COMPUTED_VALUE"""),FALSE)</f>
        <v>0</v>
      </c>
      <c r="G24" s="7" t="str">
        <f>IFERROR(__xludf.DUMMYFUNCTION("""COMPUTED_VALUE"""),"Potassium chloride")</f>
        <v>Potassium chloride</v>
      </c>
      <c r="H24" s="8">
        <f>IFERROR(__xludf.DUMMYFUNCTION("""COMPUTED_VALUE"""),6.0)</f>
        <v>6</v>
      </c>
      <c r="I24" s="8">
        <f>IFERROR(__xludf.DUMMYFUNCTION("""COMPUTED_VALUE"""),3.0)</f>
        <v>3</v>
      </c>
      <c r="J24" s="7" t="b">
        <f>IFERROR(__xludf.DUMMYFUNCTION("""COMPUTED_VALUE"""),FALSE)</f>
        <v>0</v>
      </c>
      <c r="K24" s="7" t="b">
        <f>IFERROR(__xludf.DUMMYFUNCTION("""COMPUTED_VALUE"""),FALSE)</f>
        <v>0</v>
      </c>
      <c r="M24" s="7" t="str">
        <f>IFERROR(__xludf.DUMMYFUNCTION("""COMPUTED_VALUE"""),"Cilostazol")</f>
        <v>Cilostazol</v>
      </c>
      <c r="N24" s="8">
        <f>IFERROR(__xludf.DUMMYFUNCTION("""COMPUTED_VALUE"""),1.0)</f>
        <v>1</v>
      </c>
      <c r="O24" s="8">
        <f>IFERROR(__xludf.DUMMYFUNCTION("""COMPUTED_VALUE"""),3.0)</f>
        <v>3</v>
      </c>
      <c r="P24" s="7" t="b">
        <f>IFERROR(__xludf.DUMMYFUNCTION("""COMPUTED_VALUE"""),FALSE)</f>
        <v>0</v>
      </c>
      <c r="Q24" s="7" t="b">
        <f>IFERROR(__xludf.DUMMYFUNCTION("""COMPUTED_VALUE"""),FALSE)</f>
        <v>0</v>
      </c>
      <c r="S24" s="7" t="s">
        <v>33</v>
      </c>
      <c r="T24" s="8">
        <f t="array" ref="T24">XLOOKUP(S24, MAPK8IP3, B3:B1000, XLOOKUP(S24, ZC4H2, H3:H1000, XLOOKUP(S24, SLC6A1, N3:N1000)))</f>
        <v>5</v>
      </c>
      <c r="U24" s="8">
        <f t="array" ref="U24">XLOOKUP(S24, MAPK8IP3, C3:C1000, XLOOKUP(S24, ZC4H2, I3:I1000, XLOOKUP(S24, SLC6A1, O3:O1000)))</f>
        <v>3</v>
      </c>
      <c r="V24" s="7" t="b">
        <f t="array" ref="V24">XLOOKUP(S24, MAPK8IP3, D3:D1000, XLOOKUP(S24, ZC4H2, J3:J1000, XLOOKUP(S24, SLC6A1, P3:P1000)))</f>
        <v>0</v>
      </c>
    </row>
    <row r="25">
      <c r="A25" s="7" t="str">
        <f>IFERROR(__xludf.DUMMYFUNCTION("""COMPUTED_VALUE"""),"Propranolol")</f>
        <v>Propranolol</v>
      </c>
      <c r="B25" s="8">
        <f>IFERROR(__xludf.DUMMYFUNCTION("""COMPUTED_VALUE"""),6.0)</f>
        <v>6</v>
      </c>
      <c r="C25" s="8">
        <f>IFERROR(__xludf.DUMMYFUNCTION("""COMPUTED_VALUE"""),3.0)</f>
        <v>3</v>
      </c>
      <c r="D25" s="7" t="b">
        <f>IFERROR(__xludf.DUMMYFUNCTION("""COMPUTED_VALUE"""),FALSE)</f>
        <v>0</v>
      </c>
      <c r="E25" s="7" t="b">
        <f>IFERROR(__xludf.DUMMYFUNCTION("""COMPUTED_VALUE"""),FALSE)</f>
        <v>0</v>
      </c>
      <c r="G25" s="7" t="str">
        <f>IFERROR(__xludf.DUMMYFUNCTION("""COMPUTED_VALUE"""),"Propranolol")</f>
        <v>Propranolol</v>
      </c>
      <c r="H25" s="8">
        <f>IFERROR(__xludf.DUMMYFUNCTION("""COMPUTED_VALUE"""),6.0)</f>
        <v>6</v>
      </c>
      <c r="I25" s="8">
        <f>IFERROR(__xludf.DUMMYFUNCTION("""COMPUTED_VALUE"""),3.0)</f>
        <v>3</v>
      </c>
      <c r="J25" s="7" t="b">
        <f>IFERROR(__xludf.DUMMYFUNCTION("""COMPUTED_VALUE"""),FALSE)</f>
        <v>0</v>
      </c>
      <c r="K25" s="7" t="b">
        <f>IFERROR(__xludf.DUMMYFUNCTION("""COMPUTED_VALUE"""),FALSE)</f>
        <v>0</v>
      </c>
      <c r="M25" s="7" t="str">
        <f>IFERROR(__xludf.DUMMYFUNCTION("""COMPUTED_VALUE"""),"Clemastine")</f>
        <v>Clemastine</v>
      </c>
      <c r="N25" s="8">
        <f>IFERROR(__xludf.DUMMYFUNCTION("""COMPUTED_VALUE"""),3.0)</f>
        <v>3</v>
      </c>
      <c r="O25" s="8">
        <f>IFERROR(__xludf.DUMMYFUNCTION("""COMPUTED_VALUE"""),3.0)</f>
        <v>3</v>
      </c>
      <c r="P25" s="7" t="b">
        <f>IFERROR(__xludf.DUMMYFUNCTION("""COMPUTED_VALUE"""),FALSE)</f>
        <v>0</v>
      </c>
      <c r="Q25" s="7" t="b">
        <f>IFERROR(__xludf.DUMMYFUNCTION("""COMPUTED_VALUE"""),FALSE)</f>
        <v>0</v>
      </c>
      <c r="S25" s="7" t="s">
        <v>34</v>
      </c>
      <c r="T25" s="8">
        <f t="array" ref="T25">XLOOKUP(S25, MAPK8IP3, B3:B1000, XLOOKUP(S25, ZC4H2, H3:H1000, XLOOKUP(S25, SLC6A1, N3:N1000)))</f>
        <v>5</v>
      </c>
      <c r="U25" s="8">
        <f t="array" ref="U25">XLOOKUP(S25, MAPK8IP3, C3:C1000, XLOOKUP(S25, ZC4H2, I3:I1000, XLOOKUP(S25, SLC6A1, O3:O1000)))</f>
        <v>3</v>
      </c>
      <c r="V25" s="7" t="b">
        <f t="array" ref="V25">XLOOKUP(S25, MAPK8IP3, D3:D1000, XLOOKUP(S25, ZC4H2, J3:J1000, XLOOKUP(S25, SLC6A1, P3:P1000)))</f>
        <v>1</v>
      </c>
    </row>
    <row r="26">
      <c r="A26" s="7" t="str">
        <f>IFERROR(__xludf.DUMMYFUNCTION("""COMPUTED_VALUE"""),"Pyridoxine")</f>
        <v>Pyridoxine</v>
      </c>
      <c r="B26" s="8">
        <f>IFERROR(__xludf.DUMMYFUNCTION("""COMPUTED_VALUE"""),6.0)</f>
        <v>6</v>
      </c>
      <c r="C26" s="8">
        <f>IFERROR(__xludf.DUMMYFUNCTION("""COMPUTED_VALUE"""),3.0)</f>
        <v>3</v>
      </c>
      <c r="D26" s="7" t="b">
        <f>IFERROR(__xludf.DUMMYFUNCTION("""COMPUTED_VALUE"""),FALSE)</f>
        <v>0</v>
      </c>
      <c r="E26" s="7" t="b">
        <f>IFERROR(__xludf.DUMMYFUNCTION("""COMPUTED_VALUE"""),FALSE)</f>
        <v>0</v>
      </c>
      <c r="G26" s="7" t="str">
        <f>IFERROR(__xludf.DUMMYFUNCTION("""COMPUTED_VALUE"""),"Pyridoxine")</f>
        <v>Pyridoxine</v>
      </c>
      <c r="H26" s="8">
        <f>IFERROR(__xludf.DUMMYFUNCTION("""COMPUTED_VALUE"""),6.0)</f>
        <v>6</v>
      </c>
      <c r="I26" s="8">
        <f>IFERROR(__xludf.DUMMYFUNCTION("""COMPUTED_VALUE"""),3.0)</f>
        <v>3</v>
      </c>
      <c r="J26" s="7" t="b">
        <f>IFERROR(__xludf.DUMMYFUNCTION("""COMPUTED_VALUE"""),FALSE)</f>
        <v>0</v>
      </c>
      <c r="K26" s="7" t="b">
        <f>IFERROR(__xludf.DUMMYFUNCTION("""COMPUTED_VALUE"""),FALSE)</f>
        <v>0</v>
      </c>
      <c r="M26" s="7" t="str">
        <f>IFERROR(__xludf.DUMMYFUNCTION("""COMPUTED_VALUE"""),"Clomifene")</f>
        <v>Clomifene</v>
      </c>
      <c r="N26" s="8">
        <f>IFERROR(__xludf.DUMMYFUNCTION("""COMPUTED_VALUE"""),0.0)</f>
        <v>0</v>
      </c>
      <c r="O26" s="8">
        <f>IFERROR(__xludf.DUMMYFUNCTION("""COMPUTED_VALUE"""),3.0)</f>
        <v>3</v>
      </c>
      <c r="P26" s="7" t="b">
        <f>IFERROR(__xludf.DUMMYFUNCTION("""COMPUTED_VALUE"""),FALSE)</f>
        <v>0</v>
      </c>
      <c r="Q26" s="7" t="b">
        <f>IFERROR(__xludf.DUMMYFUNCTION("""COMPUTED_VALUE"""),FALSE)</f>
        <v>0</v>
      </c>
      <c r="S26" s="7" t="s">
        <v>35</v>
      </c>
      <c r="T26" s="8">
        <f t="array" ref="T26">XLOOKUP(S26, MAPK8IP3, B3:B1000, XLOOKUP(S26, ZC4H2, H3:H1000, XLOOKUP(S26, SLC6A1, N3:N1000)))</f>
        <v>2</v>
      </c>
      <c r="U26" s="8">
        <f t="array" ref="U26">XLOOKUP(S26, MAPK8IP3, C3:C1000, XLOOKUP(S26, ZC4H2, I3:I1000, XLOOKUP(S26, SLC6A1, O3:O1000)))</f>
        <v>2</v>
      </c>
      <c r="V26" s="7" t="b">
        <f t="array" ref="V26">XLOOKUP(S26, MAPK8IP3, D3:D1000, XLOOKUP(S26, ZC4H2, J3:J1000, XLOOKUP(S26, SLC6A1, P3:P1000)))</f>
        <v>1</v>
      </c>
    </row>
    <row r="27">
      <c r="A27" s="7" t="str">
        <f>IFERROR(__xludf.DUMMYFUNCTION("""COMPUTED_VALUE"""),"Sertraline")</f>
        <v>Sertraline</v>
      </c>
      <c r="B27" s="8">
        <f>IFERROR(__xludf.DUMMYFUNCTION("""COMPUTED_VALUE"""),6.0)</f>
        <v>6</v>
      </c>
      <c r="C27" s="8">
        <f>IFERROR(__xludf.DUMMYFUNCTION("""COMPUTED_VALUE"""),3.0)</f>
        <v>3</v>
      </c>
      <c r="D27" s="7" t="b">
        <f>IFERROR(__xludf.DUMMYFUNCTION("""COMPUTED_VALUE"""),TRUE)</f>
        <v>1</v>
      </c>
      <c r="E27" s="7" t="b">
        <f>IFERROR(__xludf.DUMMYFUNCTION("""COMPUTED_VALUE"""),TRUE)</f>
        <v>1</v>
      </c>
      <c r="G27" s="7" t="str">
        <f>IFERROR(__xludf.DUMMYFUNCTION("""COMPUTED_VALUE"""),"Sertraline")</f>
        <v>Sertraline</v>
      </c>
      <c r="H27" s="8">
        <f>IFERROR(__xludf.DUMMYFUNCTION("""COMPUTED_VALUE"""),6.0)</f>
        <v>6</v>
      </c>
      <c r="I27" s="8">
        <f>IFERROR(__xludf.DUMMYFUNCTION("""COMPUTED_VALUE"""),3.0)</f>
        <v>3</v>
      </c>
      <c r="J27" s="7" t="b">
        <f>IFERROR(__xludf.DUMMYFUNCTION("""COMPUTED_VALUE"""),TRUE)</f>
        <v>1</v>
      </c>
      <c r="K27" s="7" t="b">
        <f>IFERROR(__xludf.DUMMYFUNCTION("""COMPUTED_VALUE"""),FALSE)</f>
        <v>0</v>
      </c>
      <c r="M27" s="7" t="str">
        <f>IFERROR(__xludf.DUMMYFUNCTION("""COMPUTED_VALUE"""),"Clonidine")</f>
        <v>Clonidine</v>
      </c>
      <c r="N27" s="8">
        <f>IFERROR(__xludf.DUMMYFUNCTION("""COMPUTED_VALUE"""),6.0)</f>
        <v>6</v>
      </c>
      <c r="O27" s="8">
        <f>IFERROR(__xludf.DUMMYFUNCTION("""COMPUTED_VALUE"""),3.0)</f>
        <v>3</v>
      </c>
      <c r="P27" s="7" t="b">
        <f>IFERROR(__xludf.DUMMYFUNCTION("""COMPUTED_VALUE"""),FALSE)</f>
        <v>0</v>
      </c>
      <c r="Q27" s="7" t="b">
        <f>IFERROR(__xludf.DUMMYFUNCTION("""COMPUTED_VALUE"""),FALSE)</f>
        <v>0</v>
      </c>
      <c r="S27" s="7" t="s">
        <v>36</v>
      </c>
      <c r="T27" s="7">
        <f t="array" ref="T27">XLOOKUP(S27, MAPK8IP3, B3:B1000, XLOOKUP(S27, ZC4H2, H3:H1000, XLOOKUP(S27, SLC6A1, N3:N1000)))</f>
        <v>0</v>
      </c>
      <c r="U27" s="7">
        <f t="array" ref="U27">XLOOKUP(S27, MAPK8IP3, C3:C1000, XLOOKUP(S27, ZC4H2, I3:I1000, XLOOKUP(S27, SLC6A1, O3:O1000)))</f>
        <v>3</v>
      </c>
      <c r="V27" s="7" t="b">
        <f t="array" ref="V27">XLOOKUP(S27, MAPK8IP3, D3:D1000, XLOOKUP(S27, ZC4H2, J3:J1000, XLOOKUP(S27, SLC6A1, P3:P1000)))</f>
        <v>0</v>
      </c>
    </row>
    <row r="28">
      <c r="A28" s="7" t="str">
        <f>IFERROR(__xludf.DUMMYFUNCTION("""COMPUTED_VALUE"""),"Triamcinolone")</f>
        <v>Triamcinolone</v>
      </c>
      <c r="B28" s="8">
        <f>IFERROR(__xludf.DUMMYFUNCTION("""COMPUTED_VALUE"""),6.0)</f>
        <v>6</v>
      </c>
      <c r="C28" s="8">
        <f>IFERROR(__xludf.DUMMYFUNCTION("""COMPUTED_VALUE"""),3.0)</f>
        <v>3</v>
      </c>
      <c r="D28" s="7" t="b">
        <f>IFERROR(__xludf.DUMMYFUNCTION("""COMPUTED_VALUE"""),FALSE)</f>
        <v>0</v>
      </c>
      <c r="E28" s="7" t="b">
        <f>IFERROR(__xludf.DUMMYFUNCTION("""COMPUTED_VALUE"""),FALSE)</f>
        <v>0</v>
      </c>
      <c r="G28" s="7" t="str">
        <f>IFERROR(__xludf.DUMMYFUNCTION("""COMPUTED_VALUE"""),"Triamcinolone")</f>
        <v>Triamcinolone</v>
      </c>
      <c r="H28" s="8">
        <f>IFERROR(__xludf.DUMMYFUNCTION("""COMPUTED_VALUE"""),6.0)</f>
        <v>6</v>
      </c>
      <c r="I28" s="8">
        <f>IFERROR(__xludf.DUMMYFUNCTION("""COMPUTED_VALUE"""),3.0)</f>
        <v>3</v>
      </c>
      <c r="J28" s="7" t="b">
        <f>IFERROR(__xludf.DUMMYFUNCTION("""COMPUTED_VALUE"""),FALSE)</f>
        <v>0</v>
      </c>
      <c r="K28" s="7" t="b">
        <f>IFERROR(__xludf.DUMMYFUNCTION("""COMPUTED_VALUE"""),FALSE)</f>
        <v>0</v>
      </c>
      <c r="M28" s="7" t="str">
        <f>IFERROR(__xludf.DUMMYFUNCTION("""COMPUTED_VALUE"""),"Cyproheptadine")</f>
        <v>Cyproheptadine</v>
      </c>
      <c r="N28" s="8">
        <f>IFERROR(__xludf.DUMMYFUNCTION("""COMPUTED_VALUE"""),6.0)</f>
        <v>6</v>
      </c>
      <c r="O28" s="8">
        <f>IFERROR(__xludf.DUMMYFUNCTION("""COMPUTED_VALUE"""),3.0)</f>
        <v>3</v>
      </c>
      <c r="P28" s="7" t="b">
        <f>IFERROR(__xludf.DUMMYFUNCTION("""COMPUTED_VALUE"""),FALSE)</f>
        <v>0</v>
      </c>
      <c r="Q28" s="7" t="b">
        <f>IFERROR(__xludf.DUMMYFUNCTION("""COMPUTED_VALUE"""),FALSE)</f>
        <v>0</v>
      </c>
      <c r="S28" s="7" t="s">
        <v>37</v>
      </c>
      <c r="T28" s="8">
        <f t="array" ref="T28">XLOOKUP(S28, MAPK8IP3, B3:B1000, XLOOKUP(S28, ZC4H2, H3:H1000, XLOOKUP(S28, SLC6A1, N3:N1000)))</f>
        <v>5</v>
      </c>
      <c r="U28" s="8">
        <f t="array" ref="U28">XLOOKUP(S28, MAPK8IP3, C3:C1000, XLOOKUP(S28, ZC4H2, I3:I1000, XLOOKUP(S28, SLC6A1, O3:O1000)))</f>
        <v>3</v>
      </c>
      <c r="V28" s="7" t="b">
        <f t="array" ref="V28">XLOOKUP(S28, MAPK8IP3, D3:D1000, XLOOKUP(S28, ZC4H2, J3:J1000, XLOOKUP(S28, SLC6A1, P3:P1000)))</f>
        <v>0</v>
      </c>
    </row>
    <row r="29">
      <c r="A29" s="7" t="str">
        <f>IFERROR(__xludf.DUMMYFUNCTION("""COMPUTED_VALUE"""),"Atomoxetine")</f>
        <v>Atomoxetine</v>
      </c>
      <c r="B29" s="8">
        <f>IFERROR(__xludf.DUMMYFUNCTION("""COMPUTED_VALUE"""),5.0)</f>
        <v>5</v>
      </c>
      <c r="C29" s="8">
        <f>IFERROR(__xludf.DUMMYFUNCTION("""COMPUTED_VALUE"""),3.0)</f>
        <v>3</v>
      </c>
      <c r="D29" s="7" t="b">
        <f>IFERROR(__xludf.DUMMYFUNCTION("""COMPUTED_VALUE"""),FALSE)</f>
        <v>0</v>
      </c>
      <c r="E29" s="7" t="b">
        <f>IFERROR(__xludf.DUMMYFUNCTION("""COMPUTED_VALUE"""),FALSE)</f>
        <v>0</v>
      </c>
      <c r="G29" s="7" t="str">
        <f>IFERROR(__xludf.DUMMYFUNCTION("""COMPUTED_VALUE"""),"Atomoxetine")</f>
        <v>Atomoxetine</v>
      </c>
      <c r="H29" s="8">
        <f>IFERROR(__xludf.DUMMYFUNCTION("""COMPUTED_VALUE"""),5.0)</f>
        <v>5</v>
      </c>
      <c r="I29" s="8">
        <f>IFERROR(__xludf.DUMMYFUNCTION("""COMPUTED_VALUE"""),3.0)</f>
        <v>3</v>
      </c>
      <c r="J29" s="7" t="b">
        <f>IFERROR(__xludf.DUMMYFUNCTION("""COMPUTED_VALUE"""),FALSE)</f>
        <v>0</v>
      </c>
      <c r="K29" s="7" t="b">
        <f>IFERROR(__xludf.DUMMYFUNCTION("""COMPUTED_VALUE"""),FALSE)</f>
        <v>0</v>
      </c>
      <c r="M29" s="7" t="str">
        <f>IFERROR(__xludf.DUMMYFUNCTION("""COMPUTED_VALUE"""),"Desflurane")</f>
        <v>Desflurane</v>
      </c>
      <c r="N29" s="8">
        <f>IFERROR(__xludf.DUMMYFUNCTION("""COMPUTED_VALUE"""),0.0)</f>
        <v>0</v>
      </c>
      <c r="O29" s="8">
        <f>IFERROR(__xludf.DUMMYFUNCTION("""COMPUTED_VALUE"""),3.0)</f>
        <v>3</v>
      </c>
      <c r="P29" s="7" t="b">
        <f>IFERROR(__xludf.DUMMYFUNCTION("""COMPUTED_VALUE"""),FALSE)</f>
        <v>0</v>
      </c>
      <c r="Q29" s="7" t="b">
        <f>IFERROR(__xludf.DUMMYFUNCTION("""COMPUTED_VALUE"""),FALSE)</f>
        <v>0</v>
      </c>
      <c r="S29" s="7" t="s">
        <v>38</v>
      </c>
      <c r="T29" s="7">
        <f t="array" ref="T29">XLOOKUP(S29, MAPK8IP3, B3:B1000, XLOOKUP(S29, ZC4H2, H3:H1000, XLOOKUP(S29, SLC6A1, N3:N1000)))</f>
        <v>2</v>
      </c>
      <c r="U29" s="7">
        <f t="array" ref="U29">XLOOKUP(S29, MAPK8IP3, C3:C1000, XLOOKUP(S29, ZC4H2, I3:I1000, XLOOKUP(S29, SLC6A1, O3:O1000)))</f>
        <v>3</v>
      </c>
      <c r="V29" s="7" t="b">
        <f t="array" ref="V29">XLOOKUP(S29, MAPK8IP3, D3:D1000, XLOOKUP(S29, ZC4H2, J3:J1000, XLOOKUP(S29, SLC6A1, P3:P1000)))</f>
        <v>0</v>
      </c>
    </row>
    <row r="30">
      <c r="A30" s="7" t="str">
        <f>IFERROR(__xludf.DUMMYFUNCTION("""COMPUTED_VALUE"""),"Calcitriol")</f>
        <v>Calcitriol</v>
      </c>
      <c r="B30" s="8">
        <f>IFERROR(__xludf.DUMMYFUNCTION("""COMPUTED_VALUE"""),5.0)</f>
        <v>5</v>
      </c>
      <c r="C30" s="8">
        <f>IFERROR(__xludf.DUMMYFUNCTION("""COMPUTED_VALUE"""),3.0)</f>
        <v>3</v>
      </c>
      <c r="D30" s="7" t="b">
        <f>IFERROR(__xludf.DUMMYFUNCTION("""COMPUTED_VALUE"""),FALSE)</f>
        <v>0</v>
      </c>
      <c r="E30" s="7" t="b">
        <f>IFERROR(__xludf.DUMMYFUNCTION("""COMPUTED_VALUE"""),FALSE)</f>
        <v>0</v>
      </c>
      <c r="G30" s="7" t="str">
        <f>IFERROR(__xludf.DUMMYFUNCTION("""COMPUTED_VALUE"""),"Calcitriol")</f>
        <v>Calcitriol</v>
      </c>
      <c r="H30" s="8">
        <f>IFERROR(__xludf.DUMMYFUNCTION("""COMPUTED_VALUE"""),5.0)</f>
        <v>5</v>
      </c>
      <c r="I30" s="8">
        <f>IFERROR(__xludf.DUMMYFUNCTION("""COMPUTED_VALUE"""),3.0)</f>
        <v>3</v>
      </c>
      <c r="J30" s="7" t="b">
        <f>IFERROR(__xludf.DUMMYFUNCTION("""COMPUTED_VALUE"""),FALSE)</f>
        <v>0</v>
      </c>
      <c r="K30" s="7" t="b">
        <f>IFERROR(__xludf.DUMMYFUNCTION("""COMPUTED_VALUE"""),FALSE)</f>
        <v>0</v>
      </c>
      <c r="M30" s="7" t="str">
        <f>IFERROR(__xludf.DUMMYFUNCTION("""COMPUTED_VALUE"""),"Desonide")</f>
        <v>Desonide</v>
      </c>
      <c r="N30" s="8">
        <f>IFERROR(__xludf.DUMMYFUNCTION("""COMPUTED_VALUE"""),5.0)</f>
        <v>5</v>
      </c>
      <c r="O30" s="8">
        <f>IFERROR(__xludf.DUMMYFUNCTION("""COMPUTED_VALUE"""),3.0)</f>
        <v>3</v>
      </c>
      <c r="P30" s="7" t="b">
        <f>IFERROR(__xludf.DUMMYFUNCTION("""COMPUTED_VALUE"""),FALSE)</f>
        <v>0</v>
      </c>
      <c r="Q30" s="7" t="b">
        <f>IFERROR(__xludf.DUMMYFUNCTION("""COMPUTED_VALUE"""),FALSE)</f>
        <v>0</v>
      </c>
      <c r="S30" s="7" t="s">
        <v>39</v>
      </c>
      <c r="T30" s="8">
        <f t="array" ref="T30">XLOOKUP(S30, MAPK8IP3, B3:B1000, XLOOKUP(S30, ZC4H2, H3:H1000, XLOOKUP(S30, SLC6A1, N3:N1000)))</f>
        <v>4</v>
      </c>
      <c r="U30" s="8">
        <f t="array" ref="U30">XLOOKUP(S30, MAPK8IP3, C3:C1000, XLOOKUP(S30, ZC4H2, I3:I1000, XLOOKUP(S30, SLC6A1, O3:O1000)))</f>
        <v>3</v>
      </c>
      <c r="V30" s="7" t="b">
        <f t="array" ref="V30">XLOOKUP(S30, MAPK8IP3, D3:D1000, XLOOKUP(S30, ZC4H2, J3:J1000, XLOOKUP(S30, SLC6A1, P3:P1000)))</f>
        <v>0</v>
      </c>
    </row>
    <row r="31">
      <c r="A31" s="7" t="str">
        <f>IFERROR(__xludf.DUMMYFUNCTION("""COMPUTED_VALUE"""),"Captopril")</f>
        <v>Captopril</v>
      </c>
      <c r="B31" s="8">
        <f>IFERROR(__xludf.DUMMYFUNCTION("""COMPUTED_VALUE"""),5.0)</f>
        <v>5</v>
      </c>
      <c r="C31" s="8">
        <f>IFERROR(__xludf.DUMMYFUNCTION("""COMPUTED_VALUE"""),3.0)</f>
        <v>3</v>
      </c>
      <c r="D31" s="7" t="b">
        <f>IFERROR(__xludf.DUMMYFUNCTION("""COMPUTED_VALUE"""),TRUE)</f>
        <v>1</v>
      </c>
      <c r="E31" s="7" t="b">
        <f>IFERROR(__xludf.DUMMYFUNCTION("""COMPUTED_VALUE"""),TRUE)</f>
        <v>1</v>
      </c>
      <c r="G31" s="7" t="str">
        <f>IFERROR(__xludf.DUMMYFUNCTION("""COMPUTED_VALUE"""),"Captopril")</f>
        <v>Captopril</v>
      </c>
      <c r="H31" s="8">
        <f>IFERROR(__xludf.DUMMYFUNCTION("""COMPUTED_VALUE"""),5.0)</f>
        <v>5</v>
      </c>
      <c r="I31" s="8">
        <f>IFERROR(__xludf.DUMMYFUNCTION("""COMPUTED_VALUE"""),3.0)</f>
        <v>3</v>
      </c>
      <c r="J31" s="7" t="b">
        <f>IFERROR(__xludf.DUMMYFUNCTION("""COMPUTED_VALUE"""),TRUE)</f>
        <v>1</v>
      </c>
      <c r="K31" s="7" t="b">
        <f>IFERROR(__xludf.DUMMYFUNCTION("""COMPUTED_VALUE"""),FALSE)</f>
        <v>0</v>
      </c>
      <c r="M31" s="7" t="str">
        <f>IFERROR(__xludf.DUMMYFUNCTION("""COMPUTED_VALUE"""),"Desvenlafaxine")</f>
        <v>Desvenlafaxine</v>
      </c>
      <c r="N31" s="8">
        <f>IFERROR(__xludf.DUMMYFUNCTION("""COMPUTED_VALUE"""),6.0)</f>
        <v>6</v>
      </c>
      <c r="O31" s="8">
        <f>IFERROR(__xludf.DUMMYFUNCTION("""COMPUTED_VALUE"""),3.0)</f>
        <v>3</v>
      </c>
      <c r="P31" s="7" t="b">
        <f>IFERROR(__xludf.DUMMYFUNCTION("""COMPUTED_VALUE"""),FALSE)</f>
        <v>0</v>
      </c>
      <c r="Q31" s="7" t="b">
        <f>IFERROR(__xludf.DUMMYFUNCTION("""COMPUTED_VALUE"""),FALSE)</f>
        <v>0</v>
      </c>
      <c r="S31" s="7" t="s">
        <v>40</v>
      </c>
      <c r="T31" s="8">
        <f t="array" ref="T31">XLOOKUP(S31, MAPK8IP3, B3:B1000, XLOOKUP(S31, ZC4H2, H3:H1000, XLOOKUP(S31, SLC6A1, N3:N1000)))</f>
        <v>1</v>
      </c>
      <c r="U31" s="8">
        <f t="array" ref="U31">XLOOKUP(S31, MAPK8IP3, C3:C1000, XLOOKUP(S31, ZC4H2, I3:I1000, XLOOKUP(S31, SLC6A1, O3:O1000)))</f>
        <v>3</v>
      </c>
      <c r="V31" s="7" t="b">
        <f t="array" ref="V31">XLOOKUP(S31, MAPK8IP3, D3:D1000, XLOOKUP(S31, ZC4H2, J3:J1000, XLOOKUP(S31, SLC6A1, P3:P1000)))</f>
        <v>0</v>
      </c>
    </row>
    <row r="32">
      <c r="A32" s="7" t="str">
        <f>IFERROR(__xludf.DUMMYFUNCTION("""COMPUTED_VALUE"""),"Cholecalciferol")</f>
        <v>Cholecalciferol</v>
      </c>
      <c r="B32" s="8">
        <f>IFERROR(__xludf.DUMMYFUNCTION("""COMPUTED_VALUE"""),5.0)</f>
        <v>5</v>
      </c>
      <c r="C32" s="8">
        <f>IFERROR(__xludf.DUMMYFUNCTION("""COMPUTED_VALUE"""),3.0)</f>
        <v>3</v>
      </c>
      <c r="D32" s="7" t="b">
        <f>IFERROR(__xludf.DUMMYFUNCTION("""COMPUTED_VALUE"""),FALSE)</f>
        <v>0</v>
      </c>
      <c r="E32" s="7" t="b">
        <f>IFERROR(__xludf.DUMMYFUNCTION("""COMPUTED_VALUE"""),FALSE)</f>
        <v>0</v>
      </c>
      <c r="G32" s="7" t="str">
        <f>IFERROR(__xludf.DUMMYFUNCTION("""COMPUTED_VALUE"""),"Cholecalciferol")</f>
        <v>Cholecalciferol</v>
      </c>
      <c r="H32" s="8">
        <f>IFERROR(__xludf.DUMMYFUNCTION("""COMPUTED_VALUE"""),5.0)</f>
        <v>5</v>
      </c>
      <c r="I32" s="8">
        <f>IFERROR(__xludf.DUMMYFUNCTION("""COMPUTED_VALUE"""),3.0)</f>
        <v>3</v>
      </c>
      <c r="J32" s="7" t="b">
        <f>IFERROR(__xludf.DUMMYFUNCTION("""COMPUTED_VALUE"""),FALSE)</f>
        <v>0</v>
      </c>
      <c r="K32" s="7" t="b">
        <f>IFERROR(__xludf.DUMMYFUNCTION("""COMPUTED_VALUE"""),FALSE)</f>
        <v>0</v>
      </c>
      <c r="M32" s="7" t="str">
        <f>IFERROR(__xludf.DUMMYFUNCTION("""COMPUTED_VALUE"""),"Dexmedetomidine")</f>
        <v>Dexmedetomidine</v>
      </c>
      <c r="N32" s="8">
        <f>IFERROR(__xludf.DUMMYFUNCTION("""COMPUTED_VALUE"""),2.0)</f>
        <v>2</v>
      </c>
      <c r="O32" s="8">
        <f>IFERROR(__xludf.DUMMYFUNCTION("""COMPUTED_VALUE"""),3.0)</f>
        <v>3</v>
      </c>
      <c r="P32" s="7" t="b">
        <f>IFERROR(__xludf.DUMMYFUNCTION("""COMPUTED_VALUE"""),FALSE)</f>
        <v>0</v>
      </c>
      <c r="Q32" s="7" t="b">
        <f>IFERROR(__xludf.DUMMYFUNCTION("""COMPUTED_VALUE"""),FALSE)</f>
        <v>0</v>
      </c>
      <c r="S32" s="7" t="s">
        <v>41</v>
      </c>
      <c r="T32" s="8">
        <f t="array" ref="T32">XLOOKUP(S32, MAPK8IP3, B3:B1000, XLOOKUP(S32, ZC4H2, H3:H1000, XLOOKUP(S32, SLC6A1, N3:N1000)))</f>
        <v>6</v>
      </c>
      <c r="U32" s="8">
        <f t="array" ref="U32">XLOOKUP(S32, MAPK8IP3, C3:C1000, XLOOKUP(S32, ZC4H2, I3:I1000, XLOOKUP(S32, SLC6A1, O3:O1000)))</f>
        <v>3</v>
      </c>
      <c r="V32" s="7" t="b">
        <f t="array" ref="V32">XLOOKUP(S32, MAPK8IP3, D3:D1000, XLOOKUP(S32, ZC4H2, J3:J1000, XLOOKUP(S32, SLC6A1, P3:P1000)))</f>
        <v>1</v>
      </c>
    </row>
    <row r="33">
      <c r="A33" s="7" t="str">
        <f>IFERROR(__xludf.DUMMYFUNCTION("""COMPUTED_VALUE"""),"Desloratadine")</f>
        <v>Desloratadine</v>
      </c>
      <c r="B33" s="8">
        <f>IFERROR(__xludf.DUMMYFUNCTION("""COMPUTED_VALUE"""),5.0)</f>
        <v>5</v>
      </c>
      <c r="C33" s="8">
        <f>IFERROR(__xludf.DUMMYFUNCTION("""COMPUTED_VALUE"""),3.0)</f>
        <v>3</v>
      </c>
      <c r="D33" s="7" t="b">
        <f>IFERROR(__xludf.DUMMYFUNCTION("""COMPUTED_VALUE"""),FALSE)</f>
        <v>0</v>
      </c>
      <c r="E33" s="7" t="b">
        <f>IFERROR(__xludf.DUMMYFUNCTION("""COMPUTED_VALUE"""),FALSE)</f>
        <v>0</v>
      </c>
      <c r="G33" s="7" t="str">
        <f>IFERROR(__xludf.DUMMYFUNCTION("""COMPUTED_VALUE"""),"Desloratadine")</f>
        <v>Desloratadine</v>
      </c>
      <c r="H33" s="8">
        <f>IFERROR(__xludf.DUMMYFUNCTION("""COMPUTED_VALUE"""),5.0)</f>
        <v>5</v>
      </c>
      <c r="I33" s="8">
        <f>IFERROR(__xludf.DUMMYFUNCTION("""COMPUTED_VALUE"""),3.0)</f>
        <v>3</v>
      </c>
      <c r="J33" s="7" t="b">
        <f>IFERROR(__xludf.DUMMYFUNCTION("""COMPUTED_VALUE"""),FALSE)</f>
        <v>0</v>
      </c>
      <c r="K33" s="7" t="b">
        <f>IFERROR(__xludf.DUMMYFUNCTION("""COMPUTED_VALUE"""),FALSE)</f>
        <v>0</v>
      </c>
      <c r="M33" s="7" t="str">
        <f>IFERROR(__xludf.DUMMYFUNCTION("""COMPUTED_VALUE"""),"Dextromethorphan")</f>
        <v>Dextromethorphan</v>
      </c>
      <c r="N33" s="8">
        <f>IFERROR(__xludf.DUMMYFUNCTION("""COMPUTED_VALUE"""),5.0)</f>
        <v>5</v>
      </c>
      <c r="O33" s="8">
        <f>IFERROR(__xludf.DUMMYFUNCTION("""COMPUTED_VALUE"""),3.0)</f>
        <v>3</v>
      </c>
      <c r="P33" s="7" t="b">
        <f>IFERROR(__xludf.DUMMYFUNCTION("""COMPUTED_VALUE"""),FALSE)</f>
        <v>0</v>
      </c>
      <c r="Q33" s="7" t="b">
        <f>IFERROR(__xludf.DUMMYFUNCTION("""COMPUTED_VALUE"""),FALSE)</f>
        <v>0</v>
      </c>
      <c r="S33" s="7" t="s">
        <v>42</v>
      </c>
      <c r="T33" s="8">
        <f t="array" ref="T33">XLOOKUP(S33, MAPK8IP3, B3:B1000, XLOOKUP(S33, ZC4H2, H3:H1000, XLOOKUP(S33, SLC6A1, N3:N1000)))</f>
        <v>3</v>
      </c>
      <c r="U33" s="8">
        <f t="array" ref="U33">XLOOKUP(S33, MAPK8IP3, C3:C1000, XLOOKUP(S33, ZC4H2, I3:I1000, XLOOKUP(S33, SLC6A1, O3:O1000)))</f>
        <v>3</v>
      </c>
      <c r="V33" s="7" t="b">
        <f t="array" ref="V33">XLOOKUP(S33, MAPK8IP3, D3:D1000, XLOOKUP(S33, ZC4H2, J3:J1000, XLOOKUP(S33, SLC6A1, P3:P1000)))</f>
        <v>0</v>
      </c>
    </row>
    <row r="34">
      <c r="A34" s="7" t="str">
        <f>IFERROR(__xludf.DUMMYFUNCTION("""COMPUTED_VALUE"""),"Dextromethorphan")</f>
        <v>Dextromethorphan</v>
      </c>
      <c r="B34" s="8">
        <f>IFERROR(__xludf.DUMMYFUNCTION("""COMPUTED_VALUE"""),5.0)</f>
        <v>5</v>
      </c>
      <c r="C34" s="8">
        <f>IFERROR(__xludf.DUMMYFUNCTION("""COMPUTED_VALUE"""),3.0)</f>
        <v>3</v>
      </c>
      <c r="D34" s="7" t="b">
        <f>IFERROR(__xludf.DUMMYFUNCTION("""COMPUTED_VALUE"""),FALSE)</f>
        <v>0</v>
      </c>
      <c r="E34" s="7" t="b">
        <f>IFERROR(__xludf.DUMMYFUNCTION("""COMPUTED_VALUE"""),FALSE)</f>
        <v>0</v>
      </c>
      <c r="G34" s="7" t="str">
        <f>IFERROR(__xludf.DUMMYFUNCTION("""COMPUTED_VALUE"""),"Dextromethorphan")</f>
        <v>Dextromethorphan</v>
      </c>
      <c r="H34" s="8">
        <f>IFERROR(__xludf.DUMMYFUNCTION("""COMPUTED_VALUE"""),5.0)</f>
        <v>5</v>
      </c>
      <c r="I34" s="8">
        <f>IFERROR(__xludf.DUMMYFUNCTION("""COMPUTED_VALUE"""),3.0)</f>
        <v>3</v>
      </c>
      <c r="J34" s="7" t="b">
        <f>IFERROR(__xludf.DUMMYFUNCTION("""COMPUTED_VALUE"""),FALSE)</f>
        <v>0</v>
      </c>
      <c r="K34" s="7" t="b">
        <f>IFERROR(__xludf.DUMMYFUNCTION("""COMPUTED_VALUE"""),FALSE)</f>
        <v>0</v>
      </c>
      <c r="M34" s="7" t="str">
        <f>IFERROR(__xludf.DUMMYFUNCTION("""COMPUTED_VALUE"""),"Disopyramide")</f>
        <v>Disopyramide</v>
      </c>
      <c r="N34" s="8">
        <f>IFERROR(__xludf.DUMMYFUNCTION("""COMPUTED_VALUE"""),1.0)</f>
        <v>1</v>
      </c>
      <c r="O34" s="8">
        <f>IFERROR(__xludf.DUMMYFUNCTION("""COMPUTED_VALUE"""),3.0)</f>
        <v>3</v>
      </c>
      <c r="P34" s="7" t="b">
        <f>IFERROR(__xludf.DUMMYFUNCTION("""COMPUTED_VALUE"""),FALSE)</f>
        <v>0</v>
      </c>
      <c r="Q34" s="7" t="b">
        <f>IFERROR(__xludf.DUMMYFUNCTION("""COMPUTED_VALUE"""),FALSE)</f>
        <v>0</v>
      </c>
      <c r="S34" s="7" t="s">
        <v>43</v>
      </c>
      <c r="T34" s="7">
        <f t="array" ref="T34">XLOOKUP(S34, MAPK8IP3, B3:B1000, XLOOKUP(S34, ZC4H2, H3:H1000, XLOOKUP(S34, SLC6A1, N3:N1000)))</f>
        <v>6</v>
      </c>
      <c r="U34" s="7">
        <f t="array" ref="U34">XLOOKUP(S34, MAPK8IP3, C3:C1000, XLOOKUP(S34, ZC4H2, I3:I1000, XLOOKUP(S34, SLC6A1, O3:O1000)))</f>
        <v>3</v>
      </c>
      <c r="V34" s="7" t="b">
        <f t="array" ref="V34">XLOOKUP(S34, MAPK8IP3, D3:D1000, XLOOKUP(S34, ZC4H2, J3:J1000, XLOOKUP(S34, SLC6A1, P3:P1000)))</f>
        <v>0</v>
      </c>
    </row>
    <row r="35">
      <c r="A35" s="7" t="str">
        <f>IFERROR(__xludf.DUMMYFUNCTION("""COMPUTED_VALUE"""),"Ezetimibe")</f>
        <v>Ezetimibe</v>
      </c>
      <c r="B35" s="8">
        <f>IFERROR(__xludf.DUMMYFUNCTION("""COMPUTED_VALUE"""),5.0)</f>
        <v>5</v>
      </c>
      <c r="C35" s="8">
        <f>IFERROR(__xludf.DUMMYFUNCTION("""COMPUTED_VALUE"""),3.0)</f>
        <v>3</v>
      </c>
      <c r="D35" s="7" t="b">
        <f>IFERROR(__xludf.DUMMYFUNCTION("""COMPUTED_VALUE"""),FALSE)</f>
        <v>0</v>
      </c>
      <c r="E35" s="7" t="b">
        <f>IFERROR(__xludf.DUMMYFUNCTION("""COMPUTED_VALUE"""),FALSE)</f>
        <v>0</v>
      </c>
      <c r="G35" s="7" t="str">
        <f>IFERROR(__xludf.DUMMYFUNCTION("""COMPUTED_VALUE"""),"Fexofenadine")</f>
        <v>Fexofenadine</v>
      </c>
      <c r="H35" s="8">
        <f>IFERROR(__xludf.DUMMYFUNCTION("""COMPUTED_VALUE"""),5.0)</f>
        <v>5</v>
      </c>
      <c r="I35" s="8">
        <f>IFERROR(__xludf.DUMMYFUNCTION("""COMPUTED_VALUE"""),3.0)</f>
        <v>3</v>
      </c>
      <c r="J35" s="7" t="b">
        <f>IFERROR(__xludf.DUMMYFUNCTION("""COMPUTED_VALUE"""),FALSE)</f>
        <v>0</v>
      </c>
      <c r="K35" s="7" t="b">
        <f>IFERROR(__xludf.DUMMYFUNCTION("""COMPUTED_VALUE"""),FALSE)</f>
        <v>0</v>
      </c>
      <c r="M35" s="7" t="str">
        <f>IFERROR(__xludf.DUMMYFUNCTION("""COMPUTED_VALUE"""),"Eplerenone")</f>
        <v>Eplerenone</v>
      </c>
      <c r="N35" s="8">
        <f>IFERROR(__xludf.DUMMYFUNCTION("""COMPUTED_VALUE"""),2.0)</f>
        <v>2</v>
      </c>
      <c r="O35" s="8">
        <f>IFERROR(__xludf.DUMMYFUNCTION("""COMPUTED_VALUE"""),3.0)</f>
        <v>3</v>
      </c>
      <c r="P35" s="7" t="b">
        <f>IFERROR(__xludf.DUMMYFUNCTION("""COMPUTED_VALUE"""),FALSE)</f>
        <v>0</v>
      </c>
      <c r="Q35" s="7" t="b">
        <f>IFERROR(__xludf.DUMMYFUNCTION("""COMPUTED_VALUE"""),FALSE)</f>
        <v>0</v>
      </c>
      <c r="S35" s="7" t="s">
        <v>44</v>
      </c>
      <c r="T35" s="7">
        <f t="array" ref="T35">XLOOKUP(S35, MAPK8IP3, B3:B1000, XLOOKUP(S35, ZC4H2, H3:H1000, XLOOKUP(S35, SLC6A1, N3:N1000)))</f>
        <v>0</v>
      </c>
      <c r="U35" s="7">
        <f t="array" ref="U35">XLOOKUP(S35, MAPK8IP3, C3:C1000, XLOOKUP(S35, ZC4H2, I3:I1000, XLOOKUP(S35, SLC6A1, O3:O1000)))</f>
        <v>3</v>
      </c>
      <c r="V35" s="7" t="b">
        <f t="array" ref="V35">XLOOKUP(S35, MAPK8IP3, D3:D1000, XLOOKUP(S35, ZC4H2, J3:J1000, XLOOKUP(S35, SLC6A1, P3:P1000)))</f>
        <v>0</v>
      </c>
    </row>
    <row r="36">
      <c r="A36" s="7" t="str">
        <f>IFERROR(__xludf.DUMMYFUNCTION("""COMPUTED_VALUE"""),"Fexofenadine")</f>
        <v>Fexofenadine</v>
      </c>
      <c r="B36" s="8">
        <f>IFERROR(__xludf.DUMMYFUNCTION("""COMPUTED_VALUE"""),5.0)</f>
        <v>5</v>
      </c>
      <c r="C36" s="8">
        <f>IFERROR(__xludf.DUMMYFUNCTION("""COMPUTED_VALUE"""),3.0)</f>
        <v>3</v>
      </c>
      <c r="D36" s="7" t="b">
        <f>IFERROR(__xludf.DUMMYFUNCTION("""COMPUTED_VALUE"""),FALSE)</f>
        <v>0</v>
      </c>
      <c r="E36" s="7" t="b">
        <f>IFERROR(__xludf.DUMMYFUNCTION("""COMPUTED_VALUE"""),FALSE)</f>
        <v>0</v>
      </c>
      <c r="G36" s="7" t="str">
        <f>IFERROR(__xludf.DUMMYFUNCTION("""COMPUTED_VALUE"""),"Lidocaine")</f>
        <v>Lidocaine</v>
      </c>
      <c r="H36" s="8">
        <f>IFERROR(__xludf.DUMMYFUNCTION("""COMPUTED_VALUE"""),5.0)</f>
        <v>5</v>
      </c>
      <c r="I36" s="8">
        <f>IFERROR(__xludf.DUMMYFUNCTION("""COMPUTED_VALUE"""),3.0)</f>
        <v>3</v>
      </c>
      <c r="J36" s="7" t="b">
        <f>IFERROR(__xludf.DUMMYFUNCTION("""COMPUTED_VALUE"""),FALSE)</f>
        <v>0</v>
      </c>
      <c r="K36" s="7" t="b">
        <f>IFERROR(__xludf.DUMMYFUNCTION("""COMPUTED_VALUE"""),FALSE)</f>
        <v>0</v>
      </c>
      <c r="M36" s="7" t="str">
        <f>IFERROR(__xludf.DUMMYFUNCTION("""COMPUTED_VALUE"""),"Escitalopram")</f>
        <v>Escitalopram</v>
      </c>
      <c r="N36" s="8">
        <f>IFERROR(__xludf.DUMMYFUNCTION("""COMPUTED_VALUE"""),6.0)</f>
        <v>6</v>
      </c>
      <c r="O36" s="8">
        <f>IFERROR(__xludf.DUMMYFUNCTION("""COMPUTED_VALUE"""),3.0)</f>
        <v>3</v>
      </c>
      <c r="P36" s="7" t="b">
        <f>IFERROR(__xludf.DUMMYFUNCTION("""COMPUTED_VALUE"""),TRUE)</f>
        <v>1</v>
      </c>
      <c r="Q36" s="7" t="b">
        <f>IFERROR(__xludf.DUMMYFUNCTION("""COMPUTED_VALUE"""),FALSE)</f>
        <v>0</v>
      </c>
      <c r="S36" s="7" t="s">
        <v>45</v>
      </c>
      <c r="T36" s="8">
        <f t="array" ref="T36">XLOOKUP(S36, MAPK8IP3, B3:B1000, XLOOKUP(S36, ZC4H2, H3:H1000, XLOOKUP(S36, SLC6A1, N3:N1000)))</f>
        <v>6</v>
      </c>
      <c r="U36" s="8">
        <f t="array" ref="U36">XLOOKUP(S36, MAPK8IP3, C3:C1000, XLOOKUP(S36, ZC4H2, I3:I1000, XLOOKUP(S36, SLC6A1, O3:O1000)))</f>
        <v>3</v>
      </c>
      <c r="V36" s="7" t="b">
        <f t="array" ref="V36">XLOOKUP(S36, MAPK8IP3, D3:D1000, XLOOKUP(S36, ZC4H2, J3:J1000, XLOOKUP(S36, SLC6A1, P3:P1000)))</f>
        <v>0</v>
      </c>
    </row>
    <row r="37">
      <c r="A37" s="7" t="str">
        <f>IFERROR(__xludf.DUMMYFUNCTION("""COMPUTED_VALUE"""),"Gemfibrozil")</f>
        <v>Gemfibrozil</v>
      </c>
      <c r="B37" s="8">
        <f>IFERROR(__xludf.DUMMYFUNCTION("""COMPUTED_VALUE"""),5.0)</f>
        <v>5</v>
      </c>
      <c r="C37" s="8">
        <f>IFERROR(__xludf.DUMMYFUNCTION("""COMPUTED_VALUE"""),3.0)</f>
        <v>3</v>
      </c>
      <c r="D37" s="7" t="b">
        <f>IFERROR(__xludf.DUMMYFUNCTION("""COMPUTED_VALUE"""),FALSE)</f>
        <v>0</v>
      </c>
      <c r="E37" s="7" t="b">
        <f>IFERROR(__xludf.DUMMYFUNCTION("""COMPUTED_VALUE"""),FALSE)</f>
        <v>0</v>
      </c>
      <c r="G37" s="7" t="str">
        <f>IFERROR(__xludf.DUMMYFUNCTION("""COMPUTED_VALUE"""),"Midodrine")</f>
        <v>Midodrine</v>
      </c>
      <c r="H37" s="8">
        <f>IFERROR(__xludf.DUMMYFUNCTION("""COMPUTED_VALUE"""),5.0)</f>
        <v>5</v>
      </c>
      <c r="I37" s="8">
        <f>IFERROR(__xludf.DUMMYFUNCTION("""COMPUTED_VALUE"""),3.0)</f>
        <v>3</v>
      </c>
      <c r="J37" s="7" t="b">
        <f>IFERROR(__xludf.DUMMYFUNCTION("""COMPUTED_VALUE"""),FALSE)</f>
        <v>0</v>
      </c>
      <c r="K37" s="7" t="b">
        <f>IFERROR(__xludf.DUMMYFUNCTION("""COMPUTED_VALUE"""),FALSE)</f>
        <v>0</v>
      </c>
      <c r="M37" s="7" t="str">
        <f>IFERROR(__xludf.DUMMYFUNCTION("""COMPUTED_VALUE"""),"Ethosuximide")</f>
        <v>Ethosuximide</v>
      </c>
      <c r="N37" s="8">
        <f>IFERROR(__xludf.DUMMYFUNCTION("""COMPUTED_VALUE"""),2.0)</f>
        <v>2</v>
      </c>
      <c r="O37" s="8">
        <f>IFERROR(__xludf.DUMMYFUNCTION("""COMPUTED_VALUE"""),3.0)</f>
        <v>3</v>
      </c>
      <c r="P37" s="7" t="b">
        <f>IFERROR(__xludf.DUMMYFUNCTION("""COMPUTED_VALUE"""),FALSE)</f>
        <v>0</v>
      </c>
      <c r="Q37" s="7" t="b">
        <f>IFERROR(__xludf.DUMMYFUNCTION("""COMPUTED_VALUE"""),FALSE)</f>
        <v>0</v>
      </c>
      <c r="S37" s="7" t="s">
        <v>46</v>
      </c>
      <c r="T37" s="8">
        <f t="array" ref="T37">XLOOKUP(S37, MAPK8IP3, B3:B1000, XLOOKUP(S37, ZC4H2, H3:H1000, XLOOKUP(S37, SLC6A1, N3:N1000)))</f>
        <v>6</v>
      </c>
      <c r="U37" s="8">
        <f t="array" ref="U37">XLOOKUP(S37, MAPK8IP3, C3:C1000, XLOOKUP(S37, ZC4H2, I3:I1000, XLOOKUP(S37, SLC6A1, O3:O1000)))</f>
        <v>3</v>
      </c>
      <c r="V37" s="7" t="b">
        <f t="array" ref="V37">XLOOKUP(S37, MAPK8IP3, D3:D1000, XLOOKUP(S37, ZC4H2, J3:J1000, XLOOKUP(S37, SLC6A1, P3:P1000)))</f>
        <v>0</v>
      </c>
    </row>
    <row r="38">
      <c r="A38" s="7" t="str">
        <f>IFERROR(__xludf.DUMMYFUNCTION("""COMPUTED_VALUE"""),"Levodopa")</f>
        <v>Levodopa</v>
      </c>
      <c r="B38" s="8">
        <f>IFERROR(__xludf.DUMMYFUNCTION("""COMPUTED_VALUE"""),5.0)</f>
        <v>5</v>
      </c>
      <c r="C38" s="8">
        <f>IFERROR(__xludf.DUMMYFUNCTION("""COMPUTED_VALUE"""),3.0)</f>
        <v>3</v>
      </c>
      <c r="D38" s="7" t="b">
        <f>IFERROR(__xludf.DUMMYFUNCTION("""COMPUTED_VALUE"""),TRUE)</f>
        <v>1</v>
      </c>
      <c r="E38" s="7" t="b">
        <f>IFERROR(__xludf.DUMMYFUNCTION("""COMPUTED_VALUE"""),TRUE)</f>
        <v>1</v>
      </c>
      <c r="G38" s="7" t="str">
        <f>IFERROR(__xludf.DUMMYFUNCTION("""COMPUTED_VALUE"""),"Ciclopirox")</f>
        <v>Ciclopirox</v>
      </c>
      <c r="H38" s="8">
        <f>IFERROR(__xludf.DUMMYFUNCTION("""COMPUTED_VALUE"""),4.0)</f>
        <v>4</v>
      </c>
      <c r="I38" s="8">
        <f>IFERROR(__xludf.DUMMYFUNCTION("""COMPUTED_VALUE"""),3.0)</f>
        <v>3</v>
      </c>
      <c r="J38" s="7" t="b">
        <f>IFERROR(__xludf.DUMMYFUNCTION("""COMPUTED_VALUE"""),FALSE)</f>
        <v>0</v>
      </c>
      <c r="K38" s="7" t="b">
        <f>IFERROR(__xludf.DUMMYFUNCTION("""COMPUTED_VALUE"""),FALSE)</f>
        <v>0</v>
      </c>
      <c r="M38" s="7" t="str">
        <f>IFERROR(__xludf.DUMMYFUNCTION("""COMPUTED_VALUE"""),"Felbamate")</f>
        <v>Felbamate</v>
      </c>
      <c r="N38" s="8">
        <f>IFERROR(__xludf.DUMMYFUNCTION("""COMPUTED_VALUE"""),1.0)</f>
        <v>1</v>
      </c>
      <c r="O38" s="8">
        <f>IFERROR(__xludf.DUMMYFUNCTION("""COMPUTED_VALUE"""),3.0)</f>
        <v>3</v>
      </c>
      <c r="P38" s="7" t="b">
        <f>IFERROR(__xludf.DUMMYFUNCTION("""COMPUTED_VALUE"""),FALSE)</f>
        <v>0</v>
      </c>
      <c r="Q38" s="7" t="b">
        <f>IFERROR(__xludf.DUMMYFUNCTION("""COMPUTED_VALUE"""),FALSE)</f>
        <v>0</v>
      </c>
      <c r="S38" s="7" t="s">
        <v>47</v>
      </c>
      <c r="T38" s="8">
        <f t="array" ref="T38">XLOOKUP(S38, MAPK8IP3, B3:B1000, XLOOKUP(S38, ZC4H2, H3:H1000, XLOOKUP(S38, SLC6A1, N3:N1000)))</f>
        <v>6</v>
      </c>
      <c r="U38" s="8">
        <f t="array" ref="U38">XLOOKUP(S38, MAPK8IP3, C3:C1000, XLOOKUP(S38, ZC4H2, I3:I1000, XLOOKUP(S38, SLC6A1, O3:O1000)))</f>
        <v>3</v>
      </c>
      <c r="V38" s="7" t="b">
        <f t="array" ref="V38">XLOOKUP(S38, MAPK8IP3, D3:D1000, XLOOKUP(S38, ZC4H2, J3:J1000, XLOOKUP(S38, SLC6A1, P3:P1000)))</f>
        <v>1</v>
      </c>
    </row>
    <row r="39">
      <c r="A39" s="7" t="str">
        <f>IFERROR(__xludf.DUMMYFUNCTION("""COMPUTED_VALUE"""),"Lidocaine")</f>
        <v>Lidocaine</v>
      </c>
      <c r="B39" s="8">
        <f>IFERROR(__xludf.DUMMYFUNCTION("""COMPUTED_VALUE"""),5.0)</f>
        <v>5</v>
      </c>
      <c r="C39" s="8">
        <f>IFERROR(__xludf.DUMMYFUNCTION("""COMPUTED_VALUE"""),3.0)</f>
        <v>3</v>
      </c>
      <c r="D39" s="7" t="b">
        <f>IFERROR(__xludf.DUMMYFUNCTION("""COMPUTED_VALUE"""),FALSE)</f>
        <v>0</v>
      </c>
      <c r="E39" s="7" t="b">
        <f>IFERROR(__xludf.DUMMYFUNCTION("""COMPUTED_VALUE"""),FALSE)</f>
        <v>0</v>
      </c>
      <c r="G39" s="7" t="str">
        <f>IFERROR(__xludf.DUMMYFUNCTION("""COMPUTED_VALUE"""),"Guanfacine")</f>
        <v>Guanfacine</v>
      </c>
      <c r="H39" s="8">
        <f>IFERROR(__xludf.DUMMYFUNCTION("""COMPUTED_VALUE"""),4.0)</f>
        <v>4</v>
      </c>
      <c r="I39" s="8">
        <f>IFERROR(__xludf.DUMMYFUNCTION("""COMPUTED_VALUE"""),3.0)</f>
        <v>3</v>
      </c>
      <c r="J39" s="7" t="b">
        <f>IFERROR(__xludf.DUMMYFUNCTION("""COMPUTED_VALUE"""),TRUE)</f>
        <v>1</v>
      </c>
      <c r="K39" s="7" t="b">
        <f>IFERROR(__xludf.DUMMYFUNCTION("""COMPUTED_VALUE"""),FALSE)</f>
        <v>0</v>
      </c>
      <c r="M39" s="7" t="str">
        <f>IFERROR(__xludf.DUMMYFUNCTION("""COMPUTED_VALUE"""),"Flunarizine")</f>
        <v>Flunarizine</v>
      </c>
      <c r="N39" s="8">
        <f>IFERROR(__xludf.DUMMYFUNCTION("""COMPUTED_VALUE"""),2.0)</f>
        <v>2</v>
      </c>
      <c r="O39" s="8">
        <f>IFERROR(__xludf.DUMMYFUNCTION("""COMPUTED_VALUE"""),3.0)</f>
        <v>3</v>
      </c>
      <c r="P39" s="7" t="b">
        <f>IFERROR(__xludf.DUMMYFUNCTION("""COMPUTED_VALUE"""),FALSE)</f>
        <v>0</v>
      </c>
      <c r="Q39" s="7" t="b">
        <f>IFERROR(__xludf.DUMMYFUNCTION("""COMPUTED_VALUE"""),FALSE)</f>
        <v>0</v>
      </c>
      <c r="S39" s="7" t="s">
        <v>48</v>
      </c>
      <c r="T39" s="8">
        <f t="array" ref="T39">XLOOKUP(S39, MAPK8IP3, B3:B1000, XLOOKUP(S39, ZC4H2, H3:H1000, XLOOKUP(S39, SLC6A1, N3:N1000)))</f>
        <v>-1</v>
      </c>
      <c r="U39" s="8">
        <f t="array" ref="U39">XLOOKUP(S39, MAPK8IP3, C3:C1000, XLOOKUP(S39, ZC4H2, I3:I1000, XLOOKUP(S39, SLC6A1, O3:O1000)))</f>
        <v>1</v>
      </c>
      <c r="V39" s="7" t="b">
        <f t="array" ref="V39">XLOOKUP(S39, MAPK8IP3, D3:D1000, XLOOKUP(S39, ZC4H2, J3:J1000, XLOOKUP(S39, SLC6A1, P3:P1000)))</f>
        <v>1</v>
      </c>
    </row>
    <row r="40">
      <c r="A40" s="7" t="str">
        <f>IFERROR(__xludf.DUMMYFUNCTION("""COMPUTED_VALUE"""),"Midodrine")</f>
        <v>Midodrine</v>
      </c>
      <c r="B40" s="8">
        <f>IFERROR(__xludf.DUMMYFUNCTION("""COMPUTED_VALUE"""),5.0)</f>
        <v>5</v>
      </c>
      <c r="C40" s="8">
        <f>IFERROR(__xludf.DUMMYFUNCTION("""COMPUTED_VALUE"""),3.0)</f>
        <v>3</v>
      </c>
      <c r="D40" s="7" t="b">
        <f>IFERROR(__xludf.DUMMYFUNCTION("""COMPUTED_VALUE"""),FALSE)</f>
        <v>0</v>
      </c>
      <c r="E40" s="7" t="b">
        <f>IFERROR(__xludf.DUMMYFUNCTION("""COMPUTED_VALUE"""),FALSE)</f>
        <v>0</v>
      </c>
      <c r="G40" s="7" t="str">
        <f>IFERROR(__xludf.DUMMYFUNCTION("""COMPUTED_VALUE"""),"Levetiracetam")</f>
        <v>Levetiracetam</v>
      </c>
      <c r="H40" s="8">
        <f>IFERROR(__xludf.DUMMYFUNCTION("""COMPUTED_VALUE"""),4.0)</f>
        <v>4</v>
      </c>
      <c r="I40" s="8">
        <f>IFERROR(__xludf.DUMMYFUNCTION("""COMPUTED_VALUE"""),3.0)</f>
        <v>3</v>
      </c>
      <c r="J40" s="7" t="b">
        <f>IFERROR(__xludf.DUMMYFUNCTION("""COMPUTED_VALUE"""),FALSE)</f>
        <v>0</v>
      </c>
      <c r="K40" s="7" t="b">
        <f>IFERROR(__xludf.DUMMYFUNCTION("""COMPUTED_VALUE"""),FALSE)</f>
        <v>0</v>
      </c>
      <c r="M40" s="7" t="str">
        <f>IFERROR(__xludf.DUMMYFUNCTION("""COMPUTED_VALUE"""),"Fluvoxamine")</f>
        <v>Fluvoxamine</v>
      </c>
      <c r="N40" s="8">
        <f>IFERROR(__xludf.DUMMYFUNCTION("""COMPUTED_VALUE"""),6.0)</f>
        <v>6</v>
      </c>
      <c r="O40" s="8">
        <f>IFERROR(__xludf.DUMMYFUNCTION("""COMPUTED_VALUE"""),3.0)</f>
        <v>3</v>
      </c>
      <c r="P40" s="7" t="b">
        <f>IFERROR(__xludf.DUMMYFUNCTION("""COMPUTED_VALUE"""),TRUE)</f>
        <v>1</v>
      </c>
      <c r="Q40" s="7" t="b">
        <f>IFERROR(__xludf.DUMMYFUNCTION("""COMPUTED_VALUE"""),FALSE)</f>
        <v>0</v>
      </c>
      <c r="S40" s="7" t="s">
        <v>49</v>
      </c>
      <c r="T40" s="8">
        <f t="array" ref="T40">XLOOKUP(S40, MAPK8IP3, B3:B1000, XLOOKUP(S40, ZC4H2, H3:H1000, XLOOKUP(S40, SLC6A1, N3:N1000)))</f>
        <v>0</v>
      </c>
      <c r="U40" s="8">
        <f t="array" ref="U40">XLOOKUP(S40, MAPK8IP3, C3:C1000, XLOOKUP(S40, ZC4H2, I3:I1000, XLOOKUP(S40, SLC6A1, O3:O1000)))</f>
        <v>3</v>
      </c>
      <c r="V40" s="7" t="b">
        <f t="array" ref="V40">XLOOKUP(S40, MAPK8IP3, D3:D1000, XLOOKUP(S40, ZC4H2, J3:J1000, XLOOKUP(S40, SLC6A1, P3:P1000)))</f>
        <v>0</v>
      </c>
    </row>
    <row r="41">
      <c r="A41" s="7" t="str">
        <f>IFERROR(__xludf.DUMMYFUNCTION("""COMPUTED_VALUE"""),"Ciclopirox")</f>
        <v>Ciclopirox</v>
      </c>
      <c r="B41" s="8">
        <f>IFERROR(__xludf.DUMMYFUNCTION("""COMPUTED_VALUE"""),4.0)</f>
        <v>4</v>
      </c>
      <c r="C41" s="8">
        <f>IFERROR(__xludf.DUMMYFUNCTION("""COMPUTED_VALUE"""),3.0)</f>
        <v>3</v>
      </c>
      <c r="D41" s="7" t="b">
        <f>IFERROR(__xludf.DUMMYFUNCTION("""COMPUTED_VALUE"""),FALSE)</f>
        <v>0</v>
      </c>
      <c r="E41" s="7" t="b">
        <f>IFERROR(__xludf.DUMMYFUNCTION("""COMPUTED_VALUE"""),FALSE)</f>
        <v>0</v>
      </c>
      <c r="G41" s="7" t="str">
        <f>IFERROR(__xludf.DUMMYFUNCTION("""COMPUTED_VALUE"""),"Memantine")</f>
        <v>Memantine</v>
      </c>
      <c r="H41" s="8">
        <f>IFERROR(__xludf.DUMMYFUNCTION("""COMPUTED_VALUE"""),4.0)</f>
        <v>4</v>
      </c>
      <c r="I41" s="8">
        <f>IFERROR(__xludf.DUMMYFUNCTION("""COMPUTED_VALUE"""),3.0)</f>
        <v>3</v>
      </c>
      <c r="J41" s="7" t="b">
        <f>IFERROR(__xludf.DUMMYFUNCTION("""COMPUTED_VALUE"""),FALSE)</f>
        <v>0</v>
      </c>
      <c r="K41" s="7" t="b">
        <f>IFERROR(__xludf.DUMMYFUNCTION("""COMPUTED_VALUE"""),FALSE)</f>
        <v>0</v>
      </c>
      <c r="M41" s="7" t="str">
        <f>IFERROR(__xludf.DUMMYFUNCTION("""COMPUTED_VALUE"""),"Gabapentin")</f>
        <v>Gabapentin</v>
      </c>
      <c r="N41" s="8">
        <f>IFERROR(__xludf.DUMMYFUNCTION("""COMPUTED_VALUE"""),6.0)</f>
        <v>6</v>
      </c>
      <c r="O41" s="8">
        <f>IFERROR(__xludf.DUMMYFUNCTION("""COMPUTED_VALUE"""),3.0)</f>
        <v>3</v>
      </c>
      <c r="P41" s="7" t="b">
        <f>IFERROR(__xludf.DUMMYFUNCTION("""COMPUTED_VALUE"""),TRUE)</f>
        <v>1</v>
      </c>
      <c r="Q41" s="7" t="b">
        <f>IFERROR(__xludf.DUMMYFUNCTION("""COMPUTED_VALUE"""),FALSE)</f>
        <v>0</v>
      </c>
      <c r="S41" s="7" t="s">
        <v>50</v>
      </c>
      <c r="T41" s="8">
        <f t="array" ref="T41">XLOOKUP(S41, MAPK8IP3, B3:B1000, XLOOKUP(S41, ZC4H2, H3:H1000, XLOOKUP(S41, SLC6A1, N3:N1000)))</f>
        <v>5</v>
      </c>
      <c r="U41" s="8">
        <f t="array" ref="U41">XLOOKUP(S41, MAPK8IP3, C3:C1000, XLOOKUP(S41, ZC4H2, I3:I1000, XLOOKUP(S41, SLC6A1, O3:O1000)))</f>
        <v>3</v>
      </c>
      <c r="V41" s="7" t="b">
        <f t="array" ref="V41">XLOOKUP(S41, MAPK8IP3, D3:D1000, XLOOKUP(S41, ZC4H2, J3:J1000, XLOOKUP(S41, SLC6A1, P3:P1000)))</f>
        <v>0</v>
      </c>
    </row>
    <row r="42">
      <c r="A42" s="7" t="str">
        <f>IFERROR(__xludf.DUMMYFUNCTION("""COMPUTED_VALUE"""),"Guaifenesin")</f>
        <v>Guaifenesin</v>
      </c>
      <c r="B42" s="8">
        <f>IFERROR(__xludf.DUMMYFUNCTION("""COMPUTED_VALUE"""),4.0)</f>
        <v>4</v>
      </c>
      <c r="C42" s="8">
        <f>IFERROR(__xludf.DUMMYFUNCTION("""COMPUTED_VALUE"""),3.0)</f>
        <v>3</v>
      </c>
      <c r="D42" s="7" t="b">
        <f>IFERROR(__xludf.DUMMYFUNCTION("""COMPUTED_VALUE"""),FALSE)</f>
        <v>0</v>
      </c>
      <c r="E42" s="7" t="b">
        <f>IFERROR(__xludf.DUMMYFUNCTION("""COMPUTED_VALUE"""),FALSE)</f>
        <v>0</v>
      </c>
      <c r="G42" s="7" t="str">
        <f>IFERROR(__xludf.DUMMYFUNCTION("""COMPUTED_VALUE"""),"Methylprednisolone")</f>
        <v>Methylprednisolone</v>
      </c>
      <c r="H42" s="8">
        <f>IFERROR(__xludf.DUMMYFUNCTION("""COMPUTED_VALUE"""),4.0)</f>
        <v>4</v>
      </c>
      <c r="I42" s="8">
        <f>IFERROR(__xludf.DUMMYFUNCTION("""COMPUTED_VALUE"""),3.0)</f>
        <v>3</v>
      </c>
      <c r="J42" s="7" t="b">
        <f>IFERROR(__xludf.DUMMYFUNCTION("""COMPUTED_VALUE"""),FALSE)</f>
        <v>0</v>
      </c>
      <c r="K42" s="7" t="b">
        <f>IFERROR(__xludf.DUMMYFUNCTION("""COMPUTED_VALUE"""),FALSE)</f>
        <v>0</v>
      </c>
      <c r="M42" s="7" t="str">
        <f>IFERROR(__xludf.DUMMYFUNCTION("""COMPUTED_VALUE"""),"gamma-Hydroxybutyric acid")</f>
        <v>gamma-Hydroxybutyric acid</v>
      </c>
      <c r="N42" s="8">
        <f>IFERROR(__xludf.DUMMYFUNCTION("""COMPUTED_VALUE"""),2.0)</f>
        <v>2</v>
      </c>
      <c r="O42" s="8">
        <f>IFERROR(__xludf.DUMMYFUNCTION("""COMPUTED_VALUE"""),3.0)</f>
        <v>3</v>
      </c>
      <c r="P42" s="7" t="b">
        <f>IFERROR(__xludf.DUMMYFUNCTION("""COMPUTED_VALUE"""),FALSE)</f>
        <v>0</v>
      </c>
      <c r="Q42" s="7" t="b">
        <f>IFERROR(__xludf.DUMMYFUNCTION("""COMPUTED_VALUE"""),FALSE)</f>
        <v>0</v>
      </c>
      <c r="S42" s="7" t="s">
        <v>51</v>
      </c>
      <c r="T42" s="7">
        <f t="array" ref="T42">XLOOKUP(S42, MAPK8IP3, B3:B1000, XLOOKUP(S42, ZC4H2, H3:H1000, XLOOKUP(S42, SLC6A1, N3:N1000)))</f>
        <v>5</v>
      </c>
      <c r="U42" s="7">
        <f t="array" ref="U42">XLOOKUP(S42, MAPK8IP3, C3:C1000, XLOOKUP(S42, ZC4H2, I3:I1000, XLOOKUP(S42, SLC6A1, O3:O1000)))</f>
        <v>3</v>
      </c>
      <c r="V42" s="7" t="b">
        <f t="array" ref="V42">XLOOKUP(S42, MAPK8IP3, D3:D1000, XLOOKUP(S42, ZC4H2, J3:J1000, XLOOKUP(S42, SLC6A1, P3:P1000)))</f>
        <v>0</v>
      </c>
    </row>
    <row r="43">
      <c r="A43" s="7" t="str">
        <f>IFERROR(__xludf.DUMMYFUNCTION("""COMPUTED_VALUE"""),"Guanfacine")</f>
        <v>Guanfacine</v>
      </c>
      <c r="B43" s="8">
        <f>IFERROR(__xludf.DUMMYFUNCTION("""COMPUTED_VALUE"""),4.0)</f>
        <v>4</v>
      </c>
      <c r="C43" s="8">
        <f>IFERROR(__xludf.DUMMYFUNCTION("""COMPUTED_VALUE"""),3.0)</f>
        <v>3</v>
      </c>
      <c r="D43" s="7" t="b">
        <f>IFERROR(__xludf.DUMMYFUNCTION("""COMPUTED_VALUE"""),TRUE)</f>
        <v>1</v>
      </c>
      <c r="E43" s="7" t="b">
        <f>IFERROR(__xludf.DUMMYFUNCTION("""COMPUTED_VALUE"""),TRUE)</f>
        <v>1</v>
      </c>
      <c r="G43" s="7" t="str">
        <f>IFERROR(__xludf.DUMMYFUNCTION("""COMPUTED_VALUE"""),"Pregabalin")</f>
        <v>Pregabalin</v>
      </c>
      <c r="H43" s="8">
        <f>IFERROR(__xludf.DUMMYFUNCTION("""COMPUTED_VALUE"""),4.0)</f>
        <v>4</v>
      </c>
      <c r="I43" s="8">
        <f>IFERROR(__xludf.DUMMYFUNCTION("""COMPUTED_VALUE"""),3.0)</f>
        <v>3</v>
      </c>
      <c r="J43" s="7" t="b">
        <f>IFERROR(__xludf.DUMMYFUNCTION("""COMPUTED_VALUE"""),FALSE)</f>
        <v>0</v>
      </c>
      <c r="K43" s="7" t="b">
        <f>IFERROR(__xludf.DUMMYFUNCTION("""COMPUTED_VALUE"""),FALSE)</f>
        <v>0</v>
      </c>
      <c r="M43" s="7" t="str">
        <f>IFERROR(__xludf.DUMMYFUNCTION("""COMPUTED_VALUE"""),"Glutamic acid")</f>
        <v>Glutamic acid</v>
      </c>
      <c r="N43" s="8">
        <f>IFERROR(__xludf.DUMMYFUNCTION("""COMPUTED_VALUE"""),6.0)</f>
        <v>6</v>
      </c>
      <c r="O43" s="8">
        <f>IFERROR(__xludf.DUMMYFUNCTION("""COMPUTED_VALUE"""),3.0)</f>
        <v>3</v>
      </c>
      <c r="P43" s="7" t="b">
        <f>IFERROR(__xludf.DUMMYFUNCTION("""COMPUTED_VALUE"""),FALSE)</f>
        <v>0</v>
      </c>
      <c r="Q43" s="7" t="b">
        <f>IFERROR(__xludf.DUMMYFUNCTION("""COMPUTED_VALUE"""),FALSE)</f>
        <v>0</v>
      </c>
      <c r="S43" s="7" t="s">
        <v>52</v>
      </c>
      <c r="T43" s="8">
        <f t="array" ref="T43">XLOOKUP(S43, MAPK8IP3, B3:B1000, XLOOKUP(S43, ZC4H2, H3:H1000, XLOOKUP(S43, SLC6A1, N3:N1000)))</f>
        <v>6</v>
      </c>
      <c r="U43" s="8">
        <f t="array" ref="U43">XLOOKUP(S43, MAPK8IP3, C3:C1000, XLOOKUP(S43, ZC4H2, I3:I1000, XLOOKUP(S43, SLC6A1, O3:O1000)))</f>
        <v>3</v>
      </c>
      <c r="V43" s="7" t="b">
        <f t="array" ref="V43">XLOOKUP(S43, MAPK8IP3, D3:D1000, XLOOKUP(S43, ZC4H2, J3:J1000, XLOOKUP(S43, SLC6A1, P3:P1000)))</f>
        <v>0</v>
      </c>
    </row>
    <row r="44">
      <c r="A44" s="7" t="str">
        <f>IFERROR(__xludf.DUMMYFUNCTION("""COMPUTED_VALUE"""),"Levetiracetam")</f>
        <v>Levetiracetam</v>
      </c>
      <c r="B44" s="8">
        <f>IFERROR(__xludf.DUMMYFUNCTION("""COMPUTED_VALUE"""),4.0)</f>
        <v>4</v>
      </c>
      <c r="C44" s="8">
        <f>IFERROR(__xludf.DUMMYFUNCTION("""COMPUTED_VALUE"""),3.0)</f>
        <v>3</v>
      </c>
      <c r="D44" s="7" t="b">
        <f>IFERROR(__xludf.DUMMYFUNCTION("""COMPUTED_VALUE"""),FALSE)</f>
        <v>0</v>
      </c>
      <c r="E44" s="7" t="b">
        <f>IFERROR(__xludf.DUMMYFUNCTION("""COMPUTED_VALUE"""),FALSE)</f>
        <v>0</v>
      </c>
      <c r="G44" s="7" t="str">
        <f>IFERROR(__xludf.DUMMYFUNCTION("""COMPUTED_VALUE"""),"Alfacalcidol")</f>
        <v>Alfacalcidol</v>
      </c>
      <c r="H44" s="8">
        <f>IFERROR(__xludf.DUMMYFUNCTION("""COMPUTED_VALUE"""),3.0)</f>
        <v>3</v>
      </c>
      <c r="I44" s="8">
        <f>IFERROR(__xludf.DUMMYFUNCTION("""COMPUTED_VALUE"""),3.0)</f>
        <v>3</v>
      </c>
      <c r="J44" s="7" t="b">
        <f>IFERROR(__xludf.DUMMYFUNCTION("""COMPUTED_VALUE"""),FALSE)</f>
        <v>0</v>
      </c>
      <c r="K44" s="7" t="b">
        <f>IFERROR(__xludf.DUMMYFUNCTION("""COMPUTED_VALUE"""),FALSE)</f>
        <v>0</v>
      </c>
      <c r="M44" s="7" t="str">
        <f>IFERROR(__xludf.DUMMYFUNCTION("""COMPUTED_VALUE"""),"Guanabenz")</f>
        <v>Guanabenz</v>
      </c>
      <c r="N44" s="8">
        <f>IFERROR(__xludf.DUMMYFUNCTION("""COMPUTED_VALUE"""),1.0)</f>
        <v>1</v>
      </c>
      <c r="O44" s="8">
        <f>IFERROR(__xludf.DUMMYFUNCTION("""COMPUTED_VALUE"""),3.0)</f>
        <v>3</v>
      </c>
      <c r="P44" s="7" t="b">
        <f>IFERROR(__xludf.DUMMYFUNCTION("""COMPUTED_VALUE"""),FALSE)</f>
        <v>0</v>
      </c>
      <c r="Q44" s="7" t="b">
        <f>IFERROR(__xludf.DUMMYFUNCTION("""COMPUTED_VALUE"""),FALSE)</f>
        <v>0</v>
      </c>
      <c r="S44" s="7" t="s">
        <v>53</v>
      </c>
      <c r="T44" s="8">
        <f t="array" ref="T44">XLOOKUP(S44, MAPK8IP3, B3:B1000, XLOOKUP(S44, ZC4H2, H3:H1000, XLOOKUP(S44, SLC6A1, N3:N1000)))</f>
        <v>2</v>
      </c>
      <c r="U44" s="8">
        <f t="array" ref="U44">XLOOKUP(S44, MAPK8IP3, C3:C1000, XLOOKUP(S44, ZC4H2, I3:I1000, XLOOKUP(S44, SLC6A1, O3:O1000)))</f>
        <v>3</v>
      </c>
      <c r="V44" s="7" t="b">
        <f t="array" ref="V44">XLOOKUP(S44, MAPK8IP3, D3:D1000, XLOOKUP(S44, ZC4H2, J3:J1000, XLOOKUP(S44, SLC6A1, P3:P1000)))</f>
        <v>0</v>
      </c>
    </row>
    <row r="45">
      <c r="A45" s="7" t="str">
        <f>IFERROR(__xludf.DUMMYFUNCTION("""COMPUTED_VALUE"""),"Memantine")</f>
        <v>Memantine</v>
      </c>
      <c r="B45" s="8">
        <f>IFERROR(__xludf.DUMMYFUNCTION("""COMPUTED_VALUE"""),4.0)</f>
        <v>4</v>
      </c>
      <c r="C45" s="8">
        <f>IFERROR(__xludf.DUMMYFUNCTION("""COMPUTED_VALUE"""),3.0)</f>
        <v>3</v>
      </c>
      <c r="D45" s="7" t="b">
        <f>IFERROR(__xludf.DUMMYFUNCTION("""COMPUTED_VALUE"""),FALSE)</f>
        <v>0</v>
      </c>
      <c r="E45" s="7" t="b">
        <f>IFERROR(__xludf.DUMMYFUNCTION("""COMPUTED_VALUE"""),FALSE)</f>
        <v>0</v>
      </c>
      <c r="G45" s="7" t="str">
        <f>IFERROR(__xludf.DUMMYFUNCTION("""COMPUTED_VALUE"""),"Clemastine")</f>
        <v>Clemastine</v>
      </c>
      <c r="H45" s="8">
        <f>IFERROR(__xludf.DUMMYFUNCTION("""COMPUTED_VALUE"""),3.0)</f>
        <v>3</v>
      </c>
      <c r="I45" s="8">
        <f>IFERROR(__xludf.DUMMYFUNCTION("""COMPUTED_VALUE"""),3.0)</f>
        <v>3</v>
      </c>
      <c r="J45" s="7" t="b">
        <f>IFERROR(__xludf.DUMMYFUNCTION("""COMPUTED_VALUE"""),FALSE)</f>
        <v>0</v>
      </c>
      <c r="K45" s="7" t="b">
        <f>IFERROR(__xludf.DUMMYFUNCTION("""COMPUTED_VALUE"""),FALSE)</f>
        <v>0</v>
      </c>
      <c r="M45" s="7" t="str">
        <f>IFERROR(__xludf.DUMMYFUNCTION("""COMPUTED_VALUE"""),"Guanfacine")</f>
        <v>Guanfacine</v>
      </c>
      <c r="N45" s="8">
        <f>IFERROR(__xludf.DUMMYFUNCTION("""COMPUTED_VALUE"""),4.0)</f>
        <v>4</v>
      </c>
      <c r="O45" s="8">
        <f>IFERROR(__xludf.DUMMYFUNCTION("""COMPUTED_VALUE"""),3.0)</f>
        <v>3</v>
      </c>
      <c r="P45" s="7" t="b">
        <f>IFERROR(__xludf.DUMMYFUNCTION("""COMPUTED_VALUE"""),TRUE)</f>
        <v>1</v>
      </c>
      <c r="Q45" s="7" t="b">
        <f>IFERROR(__xludf.DUMMYFUNCTION("""COMPUTED_VALUE"""),FALSE)</f>
        <v>0</v>
      </c>
      <c r="S45" s="7" t="s">
        <v>54</v>
      </c>
      <c r="T45" s="8">
        <f t="array" ref="T45">XLOOKUP(S45, MAPK8IP3, B3:B1000, XLOOKUP(S45, ZC4H2, H3:H1000, XLOOKUP(S45, SLC6A1, N3:N1000)))</f>
        <v>5</v>
      </c>
      <c r="U45" s="8">
        <f t="array" ref="U45">XLOOKUP(S45, MAPK8IP3, C3:C1000, XLOOKUP(S45, ZC4H2, I3:I1000, XLOOKUP(S45, SLC6A1, O3:O1000)))</f>
        <v>3</v>
      </c>
      <c r="V45" s="7" t="b">
        <f t="array" ref="V45">XLOOKUP(S45, MAPK8IP3, D3:D1000, XLOOKUP(S45, ZC4H2, J3:J1000, XLOOKUP(S45, SLC6A1, P3:P1000)))</f>
        <v>0</v>
      </c>
    </row>
    <row r="46">
      <c r="A46" s="7" t="str">
        <f>IFERROR(__xludf.DUMMYFUNCTION("""COMPUTED_VALUE"""),"Methylprednisolone")</f>
        <v>Methylprednisolone</v>
      </c>
      <c r="B46" s="8">
        <f>IFERROR(__xludf.DUMMYFUNCTION("""COMPUTED_VALUE"""),4.0)</f>
        <v>4</v>
      </c>
      <c r="C46" s="8">
        <f>IFERROR(__xludf.DUMMYFUNCTION("""COMPUTED_VALUE"""),3.0)</f>
        <v>3</v>
      </c>
      <c r="D46" s="7" t="b">
        <f>IFERROR(__xludf.DUMMYFUNCTION("""COMPUTED_VALUE"""),FALSE)</f>
        <v>0</v>
      </c>
      <c r="E46" s="7" t="b">
        <f>IFERROR(__xludf.DUMMYFUNCTION("""COMPUTED_VALUE"""),FALSE)</f>
        <v>0</v>
      </c>
      <c r="G46" s="7" t="str">
        <f>IFERROR(__xludf.DUMMYFUNCTION("""COMPUTED_VALUE"""),"Hydroxyurea")</f>
        <v>Hydroxyurea</v>
      </c>
      <c r="H46" s="8">
        <f>IFERROR(__xludf.DUMMYFUNCTION("""COMPUTED_VALUE"""),3.0)</f>
        <v>3</v>
      </c>
      <c r="I46" s="8">
        <f>IFERROR(__xludf.DUMMYFUNCTION("""COMPUTED_VALUE"""),3.0)</f>
        <v>3</v>
      </c>
      <c r="J46" s="7" t="b">
        <f>IFERROR(__xludf.DUMMYFUNCTION("""COMPUTED_VALUE"""),FALSE)</f>
        <v>0</v>
      </c>
      <c r="K46" s="7" t="b">
        <f>IFERROR(__xludf.DUMMYFUNCTION("""COMPUTED_VALUE"""),FALSE)</f>
        <v>0</v>
      </c>
      <c r="M46" s="7" t="str">
        <f>IFERROR(__xludf.DUMMYFUNCTION("""COMPUTED_VALUE"""),"Hydromorphone")</f>
        <v>Hydromorphone</v>
      </c>
      <c r="N46" s="8">
        <f>IFERROR(__xludf.DUMMYFUNCTION("""COMPUTED_VALUE"""),1.0)</f>
        <v>1</v>
      </c>
      <c r="O46" s="8">
        <f>IFERROR(__xludf.DUMMYFUNCTION("""COMPUTED_VALUE"""),3.0)</f>
        <v>3</v>
      </c>
      <c r="P46" s="7" t="b">
        <f>IFERROR(__xludf.DUMMYFUNCTION("""COMPUTED_VALUE"""),FALSE)</f>
        <v>0</v>
      </c>
      <c r="Q46" s="7" t="b">
        <f>IFERROR(__xludf.DUMMYFUNCTION("""COMPUTED_VALUE"""),FALSE)</f>
        <v>0</v>
      </c>
      <c r="S46" s="7" t="s">
        <v>55</v>
      </c>
      <c r="T46" s="7">
        <f t="array" ref="T46">XLOOKUP(S46, MAPK8IP3, B3:B1000, XLOOKUP(S46, ZC4H2, H3:H1000, XLOOKUP(S46, SLC6A1, N3:N1000)))</f>
        <v>1</v>
      </c>
      <c r="U46" s="7">
        <f t="array" ref="U46">XLOOKUP(S46, MAPK8IP3, C3:C1000, XLOOKUP(S46, ZC4H2, I3:I1000, XLOOKUP(S46, SLC6A1, O3:O1000)))</f>
        <v>3</v>
      </c>
      <c r="V46" s="7" t="b">
        <f t="array" ref="V46">XLOOKUP(S46, MAPK8IP3, D3:D1000, XLOOKUP(S46, ZC4H2, J3:J1000, XLOOKUP(S46, SLC6A1, P3:P1000)))</f>
        <v>0</v>
      </c>
    </row>
    <row r="47">
      <c r="A47" s="7" t="str">
        <f>IFERROR(__xludf.DUMMYFUNCTION("""COMPUTED_VALUE"""),"Permethrin")</f>
        <v>Permethrin</v>
      </c>
      <c r="B47" s="8">
        <f>IFERROR(__xludf.DUMMYFUNCTION("""COMPUTED_VALUE"""),4.0)</f>
        <v>4</v>
      </c>
      <c r="C47" s="8">
        <f>IFERROR(__xludf.DUMMYFUNCTION("""COMPUTED_VALUE"""),3.0)</f>
        <v>3</v>
      </c>
      <c r="D47" s="7" t="b">
        <f>IFERROR(__xludf.DUMMYFUNCTION("""COMPUTED_VALUE"""),FALSE)</f>
        <v>0</v>
      </c>
      <c r="E47" s="7" t="b">
        <f>IFERROR(__xludf.DUMMYFUNCTION("""COMPUTED_VALUE"""),FALSE)</f>
        <v>0</v>
      </c>
      <c r="G47" s="7" t="str">
        <f>IFERROR(__xludf.DUMMYFUNCTION("""COMPUTED_VALUE"""),"Insulin human")</f>
        <v>Insulin human</v>
      </c>
      <c r="H47" s="8">
        <f>IFERROR(__xludf.DUMMYFUNCTION("""COMPUTED_VALUE"""),3.0)</f>
        <v>3</v>
      </c>
      <c r="I47" s="8">
        <f>IFERROR(__xludf.DUMMYFUNCTION("""COMPUTED_VALUE"""),3.0)</f>
        <v>3</v>
      </c>
      <c r="J47" s="7" t="b">
        <f>IFERROR(__xludf.DUMMYFUNCTION("""COMPUTED_VALUE"""),FALSE)</f>
        <v>0</v>
      </c>
      <c r="K47" s="7" t="b">
        <f>IFERROR(__xludf.DUMMYFUNCTION("""COMPUTED_VALUE"""),FALSE)</f>
        <v>0</v>
      </c>
      <c r="M47" s="7" t="str">
        <f>IFERROR(__xludf.DUMMYFUNCTION("""COMPUTED_VALUE"""),"Hydroxyurea")</f>
        <v>Hydroxyurea</v>
      </c>
      <c r="N47" s="8">
        <f>IFERROR(__xludf.DUMMYFUNCTION("""COMPUTED_VALUE"""),3.0)</f>
        <v>3</v>
      </c>
      <c r="O47" s="8">
        <f>IFERROR(__xludf.DUMMYFUNCTION("""COMPUTED_VALUE"""),3.0)</f>
        <v>3</v>
      </c>
      <c r="P47" s="7" t="b">
        <f>IFERROR(__xludf.DUMMYFUNCTION("""COMPUTED_VALUE"""),FALSE)</f>
        <v>0</v>
      </c>
      <c r="Q47" s="7" t="b">
        <f>IFERROR(__xludf.DUMMYFUNCTION("""COMPUTED_VALUE"""),FALSE)</f>
        <v>0</v>
      </c>
      <c r="S47" s="7" t="s">
        <v>56</v>
      </c>
      <c r="T47" s="8">
        <f t="array" ref="T47">XLOOKUP(S47, MAPK8IP3, B3:B1000, XLOOKUP(S47, ZC4H2, H3:H1000, XLOOKUP(S47, SLC6A1, N3:N1000)))</f>
        <v>2</v>
      </c>
      <c r="U47" s="8">
        <f t="array" ref="U47">XLOOKUP(S47, MAPK8IP3, C3:C1000, XLOOKUP(S47, ZC4H2, I3:I1000, XLOOKUP(S47, SLC6A1, O3:O1000)))</f>
        <v>3</v>
      </c>
      <c r="V47" s="7" t="b">
        <f t="array" ref="V47">XLOOKUP(S47, MAPK8IP3, D3:D1000, XLOOKUP(S47, ZC4H2, J3:J1000, XLOOKUP(S47, SLC6A1, P3:P1000)))</f>
        <v>0</v>
      </c>
    </row>
    <row r="48">
      <c r="A48" s="7" t="str">
        <f>IFERROR(__xludf.DUMMYFUNCTION("""COMPUTED_VALUE"""),"Pregabalin")</f>
        <v>Pregabalin</v>
      </c>
      <c r="B48" s="8">
        <f>IFERROR(__xludf.DUMMYFUNCTION("""COMPUTED_VALUE"""),4.0)</f>
        <v>4</v>
      </c>
      <c r="C48" s="8">
        <f>IFERROR(__xludf.DUMMYFUNCTION("""COMPUTED_VALUE"""),3.0)</f>
        <v>3</v>
      </c>
      <c r="D48" s="7" t="b">
        <f>IFERROR(__xludf.DUMMYFUNCTION("""COMPUTED_VALUE"""),FALSE)</f>
        <v>0</v>
      </c>
      <c r="E48" s="7" t="b">
        <f>IFERROR(__xludf.DUMMYFUNCTION("""COMPUTED_VALUE"""),FALSE)</f>
        <v>0</v>
      </c>
      <c r="G48" s="7" t="str">
        <f>IFERROR(__xludf.DUMMYFUNCTION("""COMPUTED_VALUE"""),"Lisdexamfetamine")</f>
        <v>Lisdexamfetamine</v>
      </c>
      <c r="H48" s="8">
        <f>IFERROR(__xludf.DUMMYFUNCTION("""COMPUTED_VALUE"""),3.0)</f>
        <v>3</v>
      </c>
      <c r="I48" s="8">
        <f>IFERROR(__xludf.DUMMYFUNCTION("""COMPUTED_VALUE"""),3.0)</f>
        <v>3</v>
      </c>
      <c r="J48" s="7" t="b">
        <f>IFERROR(__xludf.DUMMYFUNCTION("""COMPUTED_VALUE"""),FALSE)</f>
        <v>0</v>
      </c>
      <c r="K48" s="7" t="b">
        <f>IFERROR(__xludf.DUMMYFUNCTION("""COMPUTED_VALUE"""),FALSE)</f>
        <v>0</v>
      </c>
      <c r="M48" s="7" t="str">
        <f>IFERROR(__xludf.DUMMYFUNCTION("""COMPUTED_VALUE"""),"Hydroxyzine")</f>
        <v>Hydroxyzine</v>
      </c>
      <c r="N48" s="8">
        <f>IFERROR(__xludf.DUMMYFUNCTION("""COMPUTED_VALUE"""),6.0)</f>
        <v>6</v>
      </c>
      <c r="O48" s="8">
        <f>IFERROR(__xludf.DUMMYFUNCTION("""COMPUTED_VALUE"""),3.0)</f>
        <v>3</v>
      </c>
      <c r="P48" s="7" t="b">
        <f>IFERROR(__xludf.DUMMYFUNCTION("""COMPUTED_VALUE"""),FALSE)</f>
        <v>0</v>
      </c>
      <c r="Q48" s="7" t="b">
        <f>IFERROR(__xludf.DUMMYFUNCTION("""COMPUTED_VALUE"""),FALSE)</f>
        <v>0</v>
      </c>
      <c r="S48" s="7" t="s">
        <v>57</v>
      </c>
      <c r="T48" s="8">
        <f t="array" ref="T48">XLOOKUP(S48, MAPK8IP3, B3:B1000, XLOOKUP(S48, ZC4H2, H3:H1000, XLOOKUP(S48, SLC6A1, N3:N1000)))</f>
        <v>6</v>
      </c>
      <c r="U48" s="8">
        <f t="array" ref="U48">XLOOKUP(S48, MAPK8IP3, C3:C1000, XLOOKUP(S48, ZC4H2, I3:I1000, XLOOKUP(S48, SLC6A1, O3:O1000)))</f>
        <v>3</v>
      </c>
      <c r="V48" s="7" t="b">
        <f t="array" ref="V48">XLOOKUP(S48, MAPK8IP3, D3:D1000, XLOOKUP(S48, ZC4H2, J3:J1000, XLOOKUP(S48, SLC6A1, P3:P1000)))</f>
        <v>1</v>
      </c>
    </row>
    <row r="49">
      <c r="A49" s="7" t="str">
        <f>IFERROR(__xludf.DUMMYFUNCTION("""COMPUTED_VALUE"""),"Alfacalcidol")</f>
        <v>Alfacalcidol</v>
      </c>
      <c r="B49" s="8">
        <f>IFERROR(__xludf.DUMMYFUNCTION("""COMPUTED_VALUE"""),3.0)</f>
        <v>3</v>
      </c>
      <c r="C49" s="8">
        <f>IFERROR(__xludf.DUMMYFUNCTION("""COMPUTED_VALUE"""),3.0)</f>
        <v>3</v>
      </c>
      <c r="D49" s="7" t="b">
        <f>IFERROR(__xludf.DUMMYFUNCTION("""COMPUTED_VALUE"""),FALSE)</f>
        <v>0</v>
      </c>
      <c r="E49" s="7" t="b">
        <f>IFERROR(__xludf.DUMMYFUNCTION("""COMPUTED_VALUE"""),FALSE)</f>
        <v>0</v>
      </c>
      <c r="G49" s="7" t="str">
        <f>IFERROR(__xludf.DUMMYFUNCTION("""COMPUTED_VALUE"""),"Nadolol")</f>
        <v>Nadolol</v>
      </c>
      <c r="H49" s="8">
        <f>IFERROR(__xludf.DUMMYFUNCTION("""COMPUTED_VALUE"""),3.0)</f>
        <v>3</v>
      </c>
      <c r="I49" s="8">
        <f>IFERROR(__xludf.DUMMYFUNCTION("""COMPUTED_VALUE"""),3.0)</f>
        <v>3</v>
      </c>
      <c r="J49" s="7" t="b">
        <f>IFERROR(__xludf.DUMMYFUNCTION("""COMPUTED_VALUE"""),FALSE)</f>
        <v>0</v>
      </c>
      <c r="K49" s="7" t="b">
        <f>IFERROR(__xludf.DUMMYFUNCTION("""COMPUTED_VALUE"""),FALSE)</f>
        <v>0</v>
      </c>
      <c r="M49" s="7" t="str">
        <f>IFERROR(__xludf.DUMMYFUNCTION("""COMPUTED_VALUE"""),"Insulin human")</f>
        <v>Insulin human</v>
      </c>
      <c r="N49" s="8">
        <f>IFERROR(__xludf.DUMMYFUNCTION("""COMPUTED_VALUE"""),3.0)</f>
        <v>3</v>
      </c>
      <c r="O49" s="8">
        <f>IFERROR(__xludf.DUMMYFUNCTION("""COMPUTED_VALUE"""),3.0)</f>
        <v>3</v>
      </c>
      <c r="P49" s="7" t="b">
        <f>IFERROR(__xludf.DUMMYFUNCTION("""COMPUTED_VALUE"""),FALSE)</f>
        <v>0</v>
      </c>
      <c r="Q49" s="7" t="b">
        <f>IFERROR(__xludf.DUMMYFUNCTION("""COMPUTED_VALUE"""),FALSE)</f>
        <v>0</v>
      </c>
      <c r="S49" s="7" t="s">
        <v>58</v>
      </c>
      <c r="T49" s="8">
        <f t="array" ref="T49">XLOOKUP(S49, MAPK8IP3, B3:B1000, XLOOKUP(S49, ZC4H2, H3:H1000, XLOOKUP(S49, SLC6A1, N3:N1000)))</f>
        <v>1</v>
      </c>
      <c r="U49" s="8">
        <f t="array" ref="U49">XLOOKUP(S49, MAPK8IP3, C3:C1000, XLOOKUP(S49, ZC4H2, I3:I1000, XLOOKUP(S49, SLC6A1, O3:O1000)))</f>
        <v>3</v>
      </c>
      <c r="V49" s="7" t="b">
        <f t="array" ref="V49">XLOOKUP(S49, MAPK8IP3, D3:D1000, XLOOKUP(S49, ZC4H2, J3:J1000, XLOOKUP(S49, SLC6A1, P3:P1000)))</f>
        <v>0</v>
      </c>
    </row>
    <row r="50">
      <c r="A50" s="7" t="str">
        <f>IFERROR(__xludf.DUMMYFUNCTION("""COMPUTED_VALUE"""),"Baclofen")</f>
        <v>Baclofen</v>
      </c>
      <c r="B50" s="8">
        <f>IFERROR(__xludf.DUMMYFUNCTION("""COMPUTED_VALUE"""),3.0)</f>
        <v>3</v>
      </c>
      <c r="C50" s="8">
        <f>IFERROR(__xludf.DUMMYFUNCTION("""COMPUTED_VALUE"""),3.0)</f>
        <v>3</v>
      </c>
      <c r="D50" s="7" t="b">
        <f>IFERROR(__xludf.DUMMYFUNCTION("""COMPUTED_VALUE"""),TRUE)</f>
        <v>1</v>
      </c>
      <c r="E50" s="7" t="b">
        <f>IFERROR(__xludf.DUMMYFUNCTION("""COMPUTED_VALUE"""),TRUE)</f>
        <v>1</v>
      </c>
      <c r="G50" s="7" t="str">
        <f>IFERROR(__xludf.DUMMYFUNCTION("""COMPUTED_VALUE"""),"Naloxone")</f>
        <v>Naloxone</v>
      </c>
      <c r="H50" s="8">
        <f>IFERROR(__xludf.DUMMYFUNCTION("""COMPUTED_VALUE"""),3.0)</f>
        <v>3</v>
      </c>
      <c r="I50" s="8">
        <f>IFERROR(__xludf.DUMMYFUNCTION("""COMPUTED_VALUE"""),3.0)</f>
        <v>3</v>
      </c>
      <c r="J50" s="7" t="b">
        <f>IFERROR(__xludf.DUMMYFUNCTION("""COMPUTED_VALUE"""),FALSE)</f>
        <v>0</v>
      </c>
      <c r="K50" s="7" t="b">
        <f>IFERROR(__xludf.DUMMYFUNCTION("""COMPUTED_VALUE"""),FALSE)</f>
        <v>0</v>
      </c>
      <c r="M50" s="7" t="str">
        <f>IFERROR(__xludf.DUMMYFUNCTION("""COMPUTED_VALUE"""),"Ketamine")</f>
        <v>Ketamine</v>
      </c>
      <c r="N50" s="8">
        <f>IFERROR(__xludf.DUMMYFUNCTION("""COMPUTED_VALUE"""),0.0)</f>
        <v>0</v>
      </c>
      <c r="O50" s="8">
        <f>IFERROR(__xludf.DUMMYFUNCTION("""COMPUTED_VALUE"""),3.0)</f>
        <v>3</v>
      </c>
      <c r="P50" s="7" t="b">
        <f>IFERROR(__xludf.DUMMYFUNCTION("""COMPUTED_VALUE"""),FALSE)</f>
        <v>0</v>
      </c>
      <c r="Q50" s="7" t="b">
        <f>IFERROR(__xludf.DUMMYFUNCTION("""COMPUTED_VALUE"""),FALSE)</f>
        <v>0</v>
      </c>
      <c r="S50" s="7" t="s">
        <v>59</v>
      </c>
      <c r="T50" s="8">
        <f t="array" ref="T50">XLOOKUP(S50, MAPK8IP3, B3:B1000, XLOOKUP(S50, ZC4H2, H3:H1000, XLOOKUP(S50, SLC6A1, N3:N1000)))</f>
        <v>2</v>
      </c>
      <c r="U50" s="8">
        <f t="array" ref="U50">XLOOKUP(S50, MAPK8IP3, C3:C1000, XLOOKUP(S50, ZC4H2, I3:I1000, XLOOKUP(S50, SLC6A1, O3:O1000)))</f>
        <v>3</v>
      </c>
      <c r="V50" s="7" t="b">
        <f t="array" ref="V50">XLOOKUP(S50, MAPK8IP3, D3:D1000, XLOOKUP(S50, ZC4H2, J3:J1000, XLOOKUP(S50, SLC6A1, P3:P1000)))</f>
        <v>0</v>
      </c>
    </row>
    <row r="51">
      <c r="A51" s="7" t="str">
        <f>IFERROR(__xludf.DUMMYFUNCTION("""COMPUTED_VALUE"""),"Clemastine")</f>
        <v>Clemastine</v>
      </c>
      <c r="B51" s="8">
        <f>IFERROR(__xludf.DUMMYFUNCTION("""COMPUTED_VALUE"""),3.0)</f>
        <v>3</v>
      </c>
      <c r="C51" s="8">
        <f>IFERROR(__xludf.DUMMYFUNCTION("""COMPUTED_VALUE"""),3.0)</f>
        <v>3</v>
      </c>
      <c r="D51" s="7" t="b">
        <f>IFERROR(__xludf.DUMMYFUNCTION("""COMPUTED_VALUE"""),FALSE)</f>
        <v>0</v>
      </c>
      <c r="E51" s="7" t="b">
        <f>IFERROR(__xludf.DUMMYFUNCTION("""COMPUTED_VALUE"""),FALSE)</f>
        <v>0</v>
      </c>
      <c r="G51" s="7" t="str">
        <f>IFERROR(__xludf.DUMMYFUNCTION("""COMPUTED_VALUE"""),"Pseudoephedrine")</f>
        <v>Pseudoephedrine</v>
      </c>
      <c r="H51" s="8">
        <f>IFERROR(__xludf.DUMMYFUNCTION("""COMPUTED_VALUE"""),3.0)</f>
        <v>3</v>
      </c>
      <c r="I51" s="8">
        <f>IFERROR(__xludf.DUMMYFUNCTION("""COMPUTED_VALUE"""),3.0)</f>
        <v>3</v>
      </c>
      <c r="J51" s="7" t="b">
        <f>IFERROR(__xludf.DUMMYFUNCTION("""COMPUTED_VALUE"""),FALSE)</f>
        <v>0</v>
      </c>
      <c r="K51" s="7" t="b">
        <f>IFERROR(__xludf.DUMMYFUNCTION("""COMPUTED_VALUE"""),FALSE)</f>
        <v>0</v>
      </c>
      <c r="M51" s="7" t="str">
        <f>IFERROR(__xludf.DUMMYFUNCTION("""COMPUTED_VALUE"""),"Levamisole")</f>
        <v>Levamisole</v>
      </c>
      <c r="N51" s="8">
        <f>IFERROR(__xludf.DUMMYFUNCTION("""COMPUTED_VALUE"""),1.0)</f>
        <v>1</v>
      </c>
      <c r="O51" s="8">
        <f>IFERROR(__xludf.DUMMYFUNCTION("""COMPUTED_VALUE"""),3.0)</f>
        <v>3</v>
      </c>
      <c r="P51" s="7" t="b">
        <f>IFERROR(__xludf.DUMMYFUNCTION("""COMPUTED_VALUE"""),FALSE)</f>
        <v>0</v>
      </c>
      <c r="Q51" s="7" t="b">
        <f>IFERROR(__xludf.DUMMYFUNCTION("""COMPUTED_VALUE"""),FALSE)</f>
        <v>0</v>
      </c>
      <c r="S51" s="7" t="s">
        <v>60</v>
      </c>
      <c r="T51" s="8">
        <f t="array" ref="T51">XLOOKUP(S51, MAPK8IP3, B3:B1000, XLOOKUP(S51, ZC4H2, H3:H1000, XLOOKUP(S51, SLC6A1, N3:N1000)))</f>
        <v>1</v>
      </c>
      <c r="U51" s="8">
        <f t="array" ref="U51">XLOOKUP(S51, MAPK8IP3, C3:C1000, XLOOKUP(S51, ZC4H2, I3:I1000, XLOOKUP(S51, SLC6A1, O3:O1000)))</f>
        <v>3</v>
      </c>
      <c r="V51" s="7" t="b">
        <f t="array" ref="V51">XLOOKUP(S51, MAPK8IP3, D3:D1000, XLOOKUP(S51, ZC4H2, J3:J1000, XLOOKUP(S51, SLC6A1, P3:P1000)))</f>
        <v>1</v>
      </c>
    </row>
    <row r="52">
      <c r="A52" s="7" t="str">
        <f>IFERROR(__xludf.DUMMYFUNCTION("""COMPUTED_VALUE"""),"Hydroxyurea")</f>
        <v>Hydroxyurea</v>
      </c>
      <c r="B52" s="8">
        <f>IFERROR(__xludf.DUMMYFUNCTION("""COMPUTED_VALUE"""),3.0)</f>
        <v>3</v>
      </c>
      <c r="C52" s="8">
        <f>IFERROR(__xludf.DUMMYFUNCTION("""COMPUTED_VALUE"""),3.0)</f>
        <v>3</v>
      </c>
      <c r="D52" s="7" t="b">
        <f>IFERROR(__xludf.DUMMYFUNCTION("""COMPUTED_VALUE"""),FALSE)</f>
        <v>0</v>
      </c>
      <c r="E52" s="7" t="b">
        <f>IFERROR(__xludf.DUMMYFUNCTION("""COMPUTED_VALUE"""),FALSE)</f>
        <v>0</v>
      </c>
      <c r="G52" s="7" t="str">
        <f>IFERROR(__xludf.DUMMYFUNCTION("""COMPUTED_VALUE"""),"Succinic acid")</f>
        <v>Succinic acid</v>
      </c>
      <c r="H52" s="8">
        <f>IFERROR(__xludf.DUMMYFUNCTION("""COMPUTED_VALUE"""),3.0)</f>
        <v>3</v>
      </c>
      <c r="I52" s="8">
        <f>IFERROR(__xludf.DUMMYFUNCTION("""COMPUTED_VALUE"""),3.0)</f>
        <v>3</v>
      </c>
      <c r="J52" s="7" t="b">
        <f>IFERROR(__xludf.DUMMYFUNCTION("""COMPUTED_VALUE"""),FALSE)</f>
        <v>0</v>
      </c>
      <c r="K52" s="7" t="b">
        <f>IFERROR(__xludf.DUMMYFUNCTION("""COMPUTED_VALUE"""),FALSE)</f>
        <v>0</v>
      </c>
      <c r="M52" s="7" t="str">
        <f>IFERROR(__xludf.DUMMYFUNCTION("""COMPUTED_VALUE"""),"Levetiracetam")</f>
        <v>Levetiracetam</v>
      </c>
      <c r="N52" s="8">
        <f>IFERROR(__xludf.DUMMYFUNCTION("""COMPUTED_VALUE"""),4.0)</f>
        <v>4</v>
      </c>
      <c r="O52" s="8">
        <f>IFERROR(__xludf.DUMMYFUNCTION("""COMPUTED_VALUE"""),3.0)</f>
        <v>3</v>
      </c>
      <c r="P52" s="7" t="b">
        <f>IFERROR(__xludf.DUMMYFUNCTION("""COMPUTED_VALUE"""),FALSE)</f>
        <v>0</v>
      </c>
      <c r="Q52" s="7" t="b">
        <f>IFERROR(__xludf.DUMMYFUNCTION("""COMPUTED_VALUE"""),FALSE)</f>
        <v>0</v>
      </c>
      <c r="S52" s="7" t="s">
        <v>61</v>
      </c>
      <c r="T52" s="8">
        <f t="array" ref="T52">XLOOKUP(S52, MAPK8IP3, B3:B1000, XLOOKUP(S52, ZC4H2, H3:H1000, XLOOKUP(S52, SLC6A1, N3:N1000)))</f>
        <v>5</v>
      </c>
      <c r="U52" s="8">
        <f t="array" ref="U52">XLOOKUP(S52, MAPK8IP3, C3:C1000, XLOOKUP(S52, ZC4H2, I3:I1000, XLOOKUP(S52, SLC6A1, O3:O1000)))</f>
        <v>3</v>
      </c>
      <c r="V52" s="7" t="b">
        <f t="array" ref="V52">XLOOKUP(S52, MAPK8IP3, D3:D1000, XLOOKUP(S52, ZC4H2, J3:J1000, XLOOKUP(S52, SLC6A1, P3:P1000)))</f>
        <v>0</v>
      </c>
    </row>
    <row r="53">
      <c r="A53" s="7" t="str">
        <f>IFERROR(__xludf.DUMMYFUNCTION("""COMPUTED_VALUE"""),"Insulin human")</f>
        <v>Insulin human</v>
      </c>
      <c r="B53" s="8">
        <f>IFERROR(__xludf.DUMMYFUNCTION("""COMPUTED_VALUE"""),3.0)</f>
        <v>3</v>
      </c>
      <c r="C53" s="8">
        <f>IFERROR(__xludf.DUMMYFUNCTION("""COMPUTED_VALUE"""),3.0)</f>
        <v>3</v>
      </c>
      <c r="D53" s="7" t="b">
        <f>IFERROR(__xludf.DUMMYFUNCTION("""COMPUTED_VALUE"""),FALSE)</f>
        <v>0</v>
      </c>
      <c r="E53" s="7" t="b">
        <f>IFERROR(__xludf.DUMMYFUNCTION("""COMPUTED_VALUE"""),FALSE)</f>
        <v>0</v>
      </c>
      <c r="G53" s="7" t="str">
        <f>IFERROR(__xludf.DUMMYFUNCTION("""COMPUTED_VALUE"""),"Tretinoin")</f>
        <v>Tretinoin</v>
      </c>
      <c r="H53" s="8">
        <f>IFERROR(__xludf.DUMMYFUNCTION("""COMPUTED_VALUE"""),3.0)</f>
        <v>3</v>
      </c>
      <c r="I53" s="8">
        <f>IFERROR(__xludf.DUMMYFUNCTION("""COMPUTED_VALUE"""),3.0)</f>
        <v>3</v>
      </c>
      <c r="J53" s="7" t="b">
        <f>IFERROR(__xludf.DUMMYFUNCTION("""COMPUTED_VALUE"""),FALSE)</f>
        <v>0</v>
      </c>
      <c r="K53" s="7" t="b">
        <f>IFERROR(__xludf.DUMMYFUNCTION("""COMPUTED_VALUE"""),FALSE)</f>
        <v>0</v>
      </c>
      <c r="M53" s="7" t="str">
        <f>IFERROR(__xludf.DUMMYFUNCTION("""COMPUTED_VALUE"""),"Lidocaine")</f>
        <v>Lidocaine</v>
      </c>
      <c r="N53" s="8">
        <f>IFERROR(__xludf.DUMMYFUNCTION("""COMPUTED_VALUE"""),5.0)</f>
        <v>5</v>
      </c>
      <c r="O53" s="8">
        <f>IFERROR(__xludf.DUMMYFUNCTION("""COMPUTED_VALUE"""),3.0)</f>
        <v>3</v>
      </c>
      <c r="P53" s="7" t="b">
        <f>IFERROR(__xludf.DUMMYFUNCTION("""COMPUTED_VALUE"""),FALSE)</f>
        <v>0</v>
      </c>
      <c r="Q53" s="7" t="b">
        <f>IFERROR(__xludf.DUMMYFUNCTION("""COMPUTED_VALUE"""),FALSE)</f>
        <v>0</v>
      </c>
      <c r="S53" s="7" t="s">
        <v>62</v>
      </c>
      <c r="T53" s="8">
        <f t="array" ref="T53">XLOOKUP(S53, MAPK8IP3, B3:B1000, XLOOKUP(S53, ZC4H2, H3:H1000, XLOOKUP(S53, SLC6A1, N3:N1000)))</f>
        <v>1</v>
      </c>
      <c r="U53" s="8">
        <f t="array" ref="U53">XLOOKUP(S53, MAPK8IP3, C3:C1000, XLOOKUP(S53, ZC4H2, I3:I1000, XLOOKUP(S53, SLC6A1, O3:O1000)))</f>
        <v>3</v>
      </c>
      <c r="V53" s="7" t="b">
        <f t="array" ref="V53">XLOOKUP(S53, MAPK8IP3, D3:D1000, XLOOKUP(S53, ZC4H2, J3:J1000, XLOOKUP(S53, SLC6A1, P3:P1000)))</f>
        <v>0</v>
      </c>
    </row>
    <row r="54">
      <c r="A54" s="7" t="str">
        <f>IFERROR(__xludf.DUMMYFUNCTION("""COMPUTED_VALUE"""),"Lisdexamfetamine")</f>
        <v>Lisdexamfetamine</v>
      </c>
      <c r="B54" s="8">
        <f>IFERROR(__xludf.DUMMYFUNCTION("""COMPUTED_VALUE"""),3.0)</f>
        <v>3</v>
      </c>
      <c r="C54" s="8">
        <f>IFERROR(__xludf.DUMMYFUNCTION("""COMPUTED_VALUE"""),3.0)</f>
        <v>3</v>
      </c>
      <c r="D54" s="7" t="b">
        <f>IFERROR(__xludf.DUMMYFUNCTION("""COMPUTED_VALUE"""),FALSE)</f>
        <v>0</v>
      </c>
      <c r="E54" s="7" t="b">
        <f>IFERROR(__xludf.DUMMYFUNCTION("""COMPUTED_VALUE"""),FALSE)</f>
        <v>0</v>
      </c>
      <c r="G54" s="7" t="str">
        <f>IFERROR(__xludf.DUMMYFUNCTION("""COMPUTED_VALUE"""),"Amantadine")</f>
        <v>Amantadine</v>
      </c>
      <c r="H54" s="8">
        <f>IFERROR(__xludf.DUMMYFUNCTION("""COMPUTED_VALUE"""),2.0)</f>
        <v>2</v>
      </c>
      <c r="I54" s="8">
        <f>IFERROR(__xludf.DUMMYFUNCTION("""COMPUTED_VALUE"""),3.0)</f>
        <v>3</v>
      </c>
      <c r="J54" s="7" t="b">
        <f>IFERROR(__xludf.DUMMYFUNCTION("""COMPUTED_VALUE"""),TRUE)</f>
        <v>1</v>
      </c>
      <c r="K54" s="7" t="b">
        <f>IFERROR(__xludf.DUMMYFUNCTION("""COMPUTED_VALUE"""),FALSE)</f>
        <v>0</v>
      </c>
      <c r="M54" s="7" t="str">
        <f>IFERROR(__xludf.DUMMYFUNCTION("""COMPUTED_VALUE"""),"Lisdexamfetamine")</f>
        <v>Lisdexamfetamine</v>
      </c>
      <c r="N54" s="8">
        <f>IFERROR(__xludf.DUMMYFUNCTION("""COMPUTED_VALUE"""),3.0)</f>
        <v>3</v>
      </c>
      <c r="O54" s="8">
        <f>IFERROR(__xludf.DUMMYFUNCTION("""COMPUTED_VALUE"""),3.0)</f>
        <v>3</v>
      </c>
      <c r="P54" s="7" t="b">
        <f>IFERROR(__xludf.DUMMYFUNCTION("""COMPUTED_VALUE"""),FALSE)</f>
        <v>0</v>
      </c>
      <c r="Q54" s="7" t="b">
        <f>IFERROR(__xludf.DUMMYFUNCTION("""COMPUTED_VALUE"""),FALSE)</f>
        <v>0</v>
      </c>
      <c r="S54" s="7" t="s">
        <v>63</v>
      </c>
      <c r="T54" s="8">
        <f t="array" ref="T54">XLOOKUP(S54, MAPK8IP3, B3:B1000, XLOOKUP(S54, ZC4H2, H3:H1000, XLOOKUP(S54, SLC6A1, N3:N1000)))</f>
        <v>5</v>
      </c>
      <c r="U54" s="8">
        <f t="array" ref="U54">XLOOKUP(S54, MAPK8IP3, C3:C1000, XLOOKUP(S54, ZC4H2, I3:I1000, XLOOKUP(S54, SLC6A1, O3:O1000)))</f>
        <v>3</v>
      </c>
      <c r="V54" s="7" t="b">
        <f t="array" ref="V54">XLOOKUP(S54, MAPK8IP3, D3:D1000, XLOOKUP(S54, ZC4H2, J3:J1000, XLOOKUP(S54, SLC6A1, P3:P1000)))</f>
        <v>0</v>
      </c>
    </row>
    <row r="55">
      <c r="A55" s="7" t="str">
        <f>IFERROR(__xludf.DUMMYFUNCTION("""COMPUTED_VALUE"""),"Naloxone")</f>
        <v>Naloxone</v>
      </c>
      <c r="B55" s="8">
        <f>IFERROR(__xludf.DUMMYFUNCTION("""COMPUTED_VALUE"""),3.0)</f>
        <v>3</v>
      </c>
      <c r="C55" s="8">
        <f>IFERROR(__xludf.DUMMYFUNCTION("""COMPUTED_VALUE"""),3.0)</f>
        <v>3</v>
      </c>
      <c r="D55" s="7" t="b">
        <f>IFERROR(__xludf.DUMMYFUNCTION("""COMPUTED_VALUE"""),FALSE)</f>
        <v>0</v>
      </c>
      <c r="E55" s="7" t="b">
        <f>IFERROR(__xludf.DUMMYFUNCTION("""COMPUTED_VALUE"""),FALSE)</f>
        <v>0</v>
      </c>
      <c r="G55" s="7" t="str">
        <f>IFERROR(__xludf.DUMMYFUNCTION("""COMPUTED_VALUE"""),"Anakinra")</f>
        <v>Anakinra</v>
      </c>
      <c r="H55" s="8">
        <f>IFERROR(__xludf.DUMMYFUNCTION("""COMPUTED_VALUE"""),2.0)</f>
        <v>2</v>
      </c>
      <c r="I55" s="8">
        <f>IFERROR(__xludf.DUMMYFUNCTION("""COMPUTED_VALUE"""),3.0)</f>
        <v>3</v>
      </c>
      <c r="J55" s="7" t="b">
        <f>IFERROR(__xludf.DUMMYFUNCTION("""COMPUTED_VALUE"""),FALSE)</f>
        <v>0</v>
      </c>
      <c r="K55" s="7" t="b">
        <f>IFERROR(__xludf.DUMMYFUNCTION("""COMPUTED_VALUE"""),FALSE)</f>
        <v>0</v>
      </c>
      <c r="M55" s="7" t="str">
        <f>IFERROR(__xludf.DUMMYFUNCTION("""COMPUTED_VALUE"""),"Lovastatin")</f>
        <v>Lovastatin</v>
      </c>
      <c r="N55" s="8">
        <f>IFERROR(__xludf.DUMMYFUNCTION("""COMPUTED_VALUE"""),6.0)</f>
        <v>6</v>
      </c>
      <c r="O55" s="8">
        <f>IFERROR(__xludf.DUMMYFUNCTION("""COMPUTED_VALUE"""),3.0)</f>
        <v>3</v>
      </c>
      <c r="P55" s="7" t="b">
        <f>IFERROR(__xludf.DUMMYFUNCTION("""COMPUTED_VALUE"""),TRUE)</f>
        <v>1</v>
      </c>
      <c r="Q55" s="7" t="b">
        <f>IFERROR(__xludf.DUMMYFUNCTION("""COMPUTED_VALUE"""),FALSE)</f>
        <v>0</v>
      </c>
      <c r="S55" s="7" t="s">
        <v>64</v>
      </c>
      <c r="T55" s="8">
        <f t="array" ref="T55">XLOOKUP(S55, MAPK8IP3, B3:B1000, XLOOKUP(S55, ZC4H2, H3:H1000, XLOOKUP(S55, SLC6A1, N3:N1000)))</f>
        <v>2</v>
      </c>
      <c r="U55" s="8">
        <f t="array" ref="U55">XLOOKUP(S55, MAPK8IP3, C3:C1000, XLOOKUP(S55, ZC4H2, I3:I1000, XLOOKUP(S55, SLC6A1, O3:O1000)))</f>
        <v>3</v>
      </c>
      <c r="V55" s="7" t="b">
        <f t="array" ref="V55">XLOOKUP(S55, MAPK8IP3, D3:D1000, XLOOKUP(S55, ZC4H2, J3:J1000, XLOOKUP(S55, SLC6A1, P3:P1000)))</f>
        <v>0</v>
      </c>
    </row>
    <row r="56">
      <c r="A56" s="7" t="str">
        <f>IFERROR(__xludf.DUMMYFUNCTION("""COMPUTED_VALUE"""),"Pseudoephedrine")</f>
        <v>Pseudoephedrine</v>
      </c>
      <c r="B56" s="8">
        <f>IFERROR(__xludf.DUMMYFUNCTION("""COMPUTED_VALUE"""),3.0)</f>
        <v>3</v>
      </c>
      <c r="C56" s="8">
        <f>IFERROR(__xludf.DUMMYFUNCTION("""COMPUTED_VALUE"""),3.0)</f>
        <v>3</v>
      </c>
      <c r="D56" s="7" t="b">
        <f>IFERROR(__xludf.DUMMYFUNCTION("""COMPUTED_VALUE"""),FALSE)</f>
        <v>0</v>
      </c>
      <c r="E56" s="7" t="b">
        <f>IFERROR(__xludf.DUMMYFUNCTION("""COMPUTED_VALUE"""),FALSE)</f>
        <v>0</v>
      </c>
      <c r="G56" s="7" t="str">
        <f>IFERROR(__xludf.DUMMYFUNCTION("""COMPUTED_VALUE"""),"Bisoprolol")</f>
        <v>Bisoprolol</v>
      </c>
      <c r="H56" s="8">
        <f>IFERROR(__xludf.DUMMYFUNCTION("""COMPUTED_VALUE"""),2.0)</f>
        <v>2</v>
      </c>
      <c r="I56" s="8">
        <f>IFERROR(__xludf.DUMMYFUNCTION("""COMPUTED_VALUE"""),3.0)</f>
        <v>3</v>
      </c>
      <c r="J56" s="7" t="b">
        <f>IFERROR(__xludf.DUMMYFUNCTION("""COMPUTED_VALUE"""),FALSE)</f>
        <v>0</v>
      </c>
      <c r="K56" s="7" t="b">
        <f>IFERROR(__xludf.DUMMYFUNCTION("""COMPUTED_VALUE"""),FALSE)</f>
        <v>0</v>
      </c>
      <c r="M56" s="7" t="str">
        <f>IFERROR(__xludf.DUMMYFUNCTION("""COMPUTED_VALUE"""),"Memantine")</f>
        <v>Memantine</v>
      </c>
      <c r="N56" s="8">
        <f>IFERROR(__xludf.DUMMYFUNCTION("""COMPUTED_VALUE"""),4.0)</f>
        <v>4</v>
      </c>
      <c r="O56" s="8">
        <f>IFERROR(__xludf.DUMMYFUNCTION("""COMPUTED_VALUE"""),3.0)</f>
        <v>3</v>
      </c>
      <c r="P56" s="7" t="b">
        <f>IFERROR(__xludf.DUMMYFUNCTION("""COMPUTED_VALUE"""),FALSE)</f>
        <v>0</v>
      </c>
      <c r="Q56" s="7" t="b">
        <f>IFERROR(__xludf.DUMMYFUNCTION("""COMPUTED_VALUE"""),FALSE)</f>
        <v>0</v>
      </c>
      <c r="S56" s="7" t="s">
        <v>65</v>
      </c>
      <c r="T56" s="8">
        <f t="array" ref="T56">XLOOKUP(S56, MAPK8IP3, B3:B1000, XLOOKUP(S56, ZC4H2, H3:H1000, XLOOKUP(S56, SLC6A1, N3:N1000)))</f>
        <v>6</v>
      </c>
      <c r="U56" s="8">
        <f t="array" ref="U56">XLOOKUP(S56, MAPK8IP3, C3:C1000, XLOOKUP(S56, ZC4H2, I3:I1000, XLOOKUP(S56, SLC6A1, O3:O1000)))</f>
        <v>3</v>
      </c>
      <c r="V56" s="7" t="b">
        <f t="array" ref="V56">XLOOKUP(S56, MAPK8IP3, D3:D1000, XLOOKUP(S56, ZC4H2, J3:J1000, XLOOKUP(S56, SLC6A1, P3:P1000)))</f>
        <v>1</v>
      </c>
    </row>
    <row r="57">
      <c r="A57" s="7" t="str">
        <f>IFERROR(__xludf.DUMMYFUNCTION("""COMPUTED_VALUE"""),"Succinic acid")</f>
        <v>Succinic acid</v>
      </c>
      <c r="B57" s="8">
        <f>IFERROR(__xludf.DUMMYFUNCTION("""COMPUTED_VALUE"""),3.0)</f>
        <v>3</v>
      </c>
      <c r="C57" s="8">
        <f>IFERROR(__xludf.DUMMYFUNCTION("""COMPUTED_VALUE"""),3.0)</f>
        <v>3</v>
      </c>
      <c r="D57" s="7" t="b">
        <f>IFERROR(__xludf.DUMMYFUNCTION("""COMPUTED_VALUE"""),FALSE)</f>
        <v>0</v>
      </c>
      <c r="E57" s="7" t="b">
        <f>IFERROR(__xludf.DUMMYFUNCTION("""COMPUTED_VALUE"""),FALSE)</f>
        <v>0</v>
      </c>
      <c r="G57" s="7" t="str">
        <f>IFERROR(__xludf.DUMMYFUNCTION("""COMPUTED_VALUE"""),"Ciclesonide")</f>
        <v>Ciclesonide</v>
      </c>
      <c r="H57" s="8">
        <f>IFERROR(__xludf.DUMMYFUNCTION("""COMPUTED_VALUE"""),2.0)</f>
        <v>2</v>
      </c>
      <c r="I57" s="8">
        <f>IFERROR(__xludf.DUMMYFUNCTION("""COMPUTED_VALUE"""),3.0)</f>
        <v>3</v>
      </c>
      <c r="J57" s="7" t="b">
        <f>IFERROR(__xludf.DUMMYFUNCTION("""COMPUTED_VALUE"""),FALSE)</f>
        <v>0</v>
      </c>
      <c r="K57" s="7" t="b">
        <f>IFERROR(__xludf.DUMMYFUNCTION("""COMPUTED_VALUE"""),FALSE)</f>
        <v>0</v>
      </c>
      <c r="M57" s="7" t="str">
        <f>IFERROR(__xludf.DUMMYFUNCTION("""COMPUTED_VALUE"""),"Meperidine")</f>
        <v>Meperidine</v>
      </c>
      <c r="N57" s="8">
        <f>IFERROR(__xludf.DUMMYFUNCTION("""COMPUTED_VALUE"""),0.0)</f>
        <v>0</v>
      </c>
      <c r="O57" s="8">
        <f>IFERROR(__xludf.DUMMYFUNCTION("""COMPUTED_VALUE"""),3.0)</f>
        <v>3</v>
      </c>
      <c r="P57" s="7" t="b">
        <f>IFERROR(__xludf.DUMMYFUNCTION("""COMPUTED_VALUE"""),FALSE)</f>
        <v>0</v>
      </c>
      <c r="Q57" s="7" t="b">
        <f>IFERROR(__xludf.DUMMYFUNCTION("""COMPUTED_VALUE"""),FALSE)</f>
        <v>0</v>
      </c>
      <c r="S57" s="7" t="s">
        <v>66</v>
      </c>
      <c r="T57" s="8">
        <f t="array" ref="T57">XLOOKUP(S57, MAPK8IP3, B3:B1000, XLOOKUP(S57, ZC4H2, H3:H1000, XLOOKUP(S57, SLC6A1, N3:N1000)))</f>
        <v>1</v>
      </c>
      <c r="U57" s="8">
        <f t="array" ref="U57">XLOOKUP(S57, MAPK8IP3, C3:C1000, XLOOKUP(S57, ZC4H2, I3:I1000, XLOOKUP(S57, SLC6A1, O3:O1000)))</f>
        <v>3</v>
      </c>
      <c r="V57" s="7" t="b">
        <f t="array" ref="V57">XLOOKUP(S57, MAPK8IP3, D3:D1000, XLOOKUP(S57, ZC4H2, J3:J1000, XLOOKUP(S57, SLC6A1, P3:P1000)))</f>
        <v>0</v>
      </c>
    </row>
    <row r="58">
      <c r="A58" s="7" t="str">
        <f>IFERROR(__xludf.DUMMYFUNCTION("""COMPUTED_VALUE"""),"Tretinoin")</f>
        <v>Tretinoin</v>
      </c>
      <c r="B58" s="8">
        <f>IFERROR(__xludf.DUMMYFUNCTION("""COMPUTED_VALUE"""),3.0)</f>
        <v>3</v>
      </c>
      <c r="C58" s="8">
        <f>IFERROR(__xludf.DUMMYFUNCTION("""COMPUTED_VALUE"""),3.0)</f>
        <v>3</v>
      </c>
      <c r="D58" s="7" t="b">
        <f>IFERROR(__xludf.DUMMYFUNCTION("""COMPUTED_VALUE"""),FALSE)</f>
        <v>0</v>
      </c>
      <c r="E58" s="7" t="b">
        <f>IFERROR(__xludf.DUMMYFUNCTION("""COMPUTED_VALUE"""),FALSE)</f>
        <v>0</v>
      </c>
      <c r="G58" s="7" t="str">
        <f>IFERROR(__xludf.DUMMYFUNCTION("""COMPUTED_VALUE"""),"Dexmedetomidine")</f>
        <v>Dexmedetomidine</v>
      </c>
      <c r="H58" s="8">
        <f>IFERROR(__xludf.DUMMYFUNCTION("""COMPUTED_VALUE"""),2.0)</f>
        <v>2</v>
      </c>
      <c r="I58" s="8">
        <f>IFERROR(__xludf.DUMMYFUNCTION("""COMPUTED_VALUE"""),3.0)</f>
        <v>3</v>
      </c>
      <c r="J58" s="7" t="b">
        <f>IFERROR(__xludf.DUMMYFUNCTION("""COMPUTED_VALUE"""),FALSE)</f>
        <v>0</v>
      </c>
      <c r="K58" s="7" t="b">
        <f>IFERROR(__xludf.DUMMYFUNCTION("""COMPUTED_VALUE"""),FALSE)</f>
        <v>0</v>
      </c>
      <c r="M58" s="7" t="str">
        <f>IFERROR(__xludf.DUMMYFUNCTION("""COMPUTED_VALUE"""),"Mepivacaine")</f>
        <v>Mepivacaine</v>
      </c>
      <c r="N58" s="8">
        <f>IFERROR(__xludf.DUMMYFUNCTION("""COMPUTED_VALUE"""),0.0)</f>
        <v>0</v>
      </c>
      <c r="O58" s="8">
        <f>IFERROR(__xludf.DUMMYFUNCTION("""COMPUTED_VALUE"""),3.0)</f>
        <v>3</v>
      </c>
      <c r="P58" s="7" t="b">
        <f>IFERROR(__xludf.DUMMYFUNCTION("""COMPUTED_VALUE"""),FALSE)</f>
        <v>0</v>
      </c>
      <c r="Q58" s="7" t="b">
        <f>IFERROR(__xludf.DUMMYFUNCTION("""COMPUTED_VALUE"""),FALSE)</f>
        <v>0</v>
      </c>
      <c r="S58" s="7" t="s">
        <v>67</v>
      </c>
      <c r="T58" s="8">
        <f t="array" ref="T58">XLOOKUP(S58, MAPK8IP3, B3:B1000, XLOOKUP(S58, ZC4H2, H3:H1000, XLOOKUP(S58, SLC6A1, N3:N1000)))</f>
        <v>6</v>
      </c>
      <c r="U58" s="8">
        <f t="array" ref="U58">XLOOKUP(S58, MAPK8IP3, C3:C1000, XLOOKUP(S58, ZC4H2, I3:I1000, XLOOKUP(S58, SLC6A1, O3:O1000)))</f>
        <v>3</v>
      </c>
      <c r="V58" s="7" t="b">
        <f t="array" ref="V58">XLOOKUP(S58, MAPK8IP3, D3:D1000, XLOOKUP(S58, ZC4H2, J3:J1000, XLOOKUP(S58, SLC6A1, P3:P1000)))</f>
        <v>1</v>
      </c>
    </row>
    <row r="59">
      <c r="A59" s="7" t="str">
        <f>IFERROR(__xludf.DUMMYFUNCTION("""COMPUTED_VALUE"""),"Amantadine")</f>
        <v>Amantadine</v>
      </c>
      <c r="B59" s="8">
        <f>IFERROR(__xludf.DUMMYFUNCTION("""COMPUTED_VALUE"""),2.0)</f>
        <v>2</v>
      </c>
      <c r="C59" s="8">
        <f>IFERROR(__xludf.DUMMYFUNCTION("""COMPUTED_VALUE"""),3.0)</f>
        <v>3</v>
      </c>
      <c r="D59" s="7" t="b">
        <f>IFERROR(__xludf.DUMMYFUNCTION("""COMPUTED_VALUE"""),TRUE)</f>
        <v>1</v>
      </c>
      <c r="E59" s="7" t="b">
        <f>IFERROR(__xludf.DUMMYFUNCTION("""COMPUTED_VALUE"""),TRUE)</f>
        <v>1</v>
      </c>
      <c r="G59" s="7" t="str">
        <f>IFERROR(__xludf.DUMMYFUNCTION("""COMPUTED_VALUE"""),"Eplerenone")</f>
        <v>Eplerenone</v>
      </c>
      <c r="H59" s="8">
        <f>IFERROR(__xludf.DUMMYFUNCTION("""COMPUTED_VALUE"""),2.0)</f>
        <v>2</v>
      </c>
      <c r="I59" s="8">
        <f>IFERROR(__xludf.DUMMYFUNCTION("""COMPUTED_VALUE"""),3.0)</f>
        <v>3</v>
      </c>
      <c r="J59" s="7" t="b">
        <f>IFERROR(__xludf.DUMMYFUNCTION("""COMPUTED_VALUE"""),FALSE)</f>
        <v>0</v>
      </c>
      <c r="K59" s="7" t="b">
        <f>IFERROR(__xludf.DUMMYFUNCTION("""COMPUTED_VALUE"""),FALSE)</f>
        <v>0</v>
      </c>
      <c r="M59" s="7" t="str">
        <f>IFERROR(__xludf.DUMMYFUNCTION("""COMPUTED_VALUE"""),"Metformin")</f>
        <v>Metformin</v>
      </c>
      <c r="N59" s="8">
        <f>IFERROR(__xludf.DUMMYFUNCTION("""COMPUTED_VALUE"""),6.0)</f>
        <v>6</v>
      </c>
      <c r="O59" s="8">
        <f>IFERROR(__xludf.DUMMYFUNCTION("""COMPUTED_VALUE"""),3.0)</f>
        <v>3</v>
      </c>
      <c r="P59" s="7" t="b">
        <f>IFERROR(__xludf.DUMMYFUNCTION("""COMPUTED_VALUE"""),TRUE)</f>
        <v>1</v>
      </c>
      <c r="Q59" s="7" t="b">
        <f>IFERROR(__xludf.DUMMYFUNCTION("""COMPUTED_VALUE"""),FALSE)</f>
        <v>0</v>
      </c>
      <c r="S59" s="7" t="s">
        <v>68</v>
      </c>
      <c r="T59" s="8">
        <f t="array" ref="T59">XLOOKUP(S59, MAPK8IP3, B3:B1000, XLOOKUP(S59, ZC4H2, H3:H1000, XLOOKUP(S59, SLC6A1, N3:N1000)))</f>
        <v>2</v>
      </c>
      <c r="U59" s="8">
        <f t="array" ref="U59">XLOOKUP(S59, MAPK8IP3, C3:C1000, XLOOKUP(S59, ZC4H2, I3:I1000, XLOOKUP(S59, SLC6A1, O3:O1000)))</f>
        <v>3</v>
      </c>
      <c r="V59" s="7" t="b">
        <f t="array" ref="V59">XLOOKUP(S59, MAPK8IP3, D3:D1000, XLOOKUP(S59, ZC4H2, J3:J1000, XLOOKUP(S59, SLC6A1, P3:P1000)))</f>
        <v>0</v>
      </c>
    </row>
    <row r="60">
      <c r="A60" s="7" t="str">
        <f>IFERROR(__xludf.DUMMYFUNCTION("""COMPUTED_VALUE"""),"Anakinra")</f>
        <v>Anakinra</v>
      </c>
      <c r="B60" s="8">
        <f>IFERROR(__xludf.DUMMYFUNCTION("""COMPUTED_VALUE"""),2.0)</f>
        <v>2</v>
      </c>
      <c r="C60" s="8">
        <f>IFERROR(__xludf.DUMMYFUNCTION("""COMPUTED_VALUE"""),3.0)</f>
        <v>3</v>
      </c>
      <c r="D60" s="7" t="b">
        <f>IFERROR(__xludf.DUMMYFUNCTION("""COMPUTED_VALUE"""),FALSE)</f>
        <v>0</v>
      </c>
      <c r="E60" s="7" t="b">
        <f>IFERROR(__xludf.DUMMYFUNCTION("""COMPUTED_VALUE"""),FALSE)</f>
        <v>0</v>
      </c>
      <c r="G60" s="7" t="str">
        <f>IFERROR(__xludf.DUMMYFUNCTION("""COMPUTED_VALUE"""),"Ethosuximide")</f>
        <v>Ethosuximide</v>
      </c>
      <c r="H60" s="8">
        <f>IFERROR(__xludf.DUMMYFUNCTION("""COMPUTED_VALUE"""),2.0)</f>
        <v>2</v>
      </c>
      <c r="I60" s="8">
        <f>IFERROR(__xludf.DUMMYFUNCTION("""COMPUTED_VALUE"""),3.0)</f>
        <v>3</v>
      </c>
      <c r="J60" s="7" t="b">
        <f>IFERROR(__xludf.DUMMYFUNCTION("""COMPUTED_VALUE"""),FALSE)</f>
        <v>0</v>
      </c>
      <c r="K60" s="7" t="b">
        <f>IFERROR(__xludf.DUMMYFUNCTION("""COMPUTED_VALUE"""),FALSE)</f>
        <v>0</v>
      </c>
      <c r="M60" s="7" t="str">
        <f>IFERROR(__xludf.DUMMYFUNCTION("""COMPUTED_VALUE"""),"Methsuximide")</f>
        <v>Methsuximide</v>
      </c>
      <c r="N60" s="8">
        <f>IFERROR(__xludf.DUMMYFUNCTION("""COMPUTED_VALUE"""),1.0)</f>
        <v>1</v>
      </c>
      <c r="O60" s="8">
        <f>IFERROR(__xludf.DUMMYFUNCTION("""COMPUTED_VALUE"""),3.0)</f>
        <v>3</v>
      </c>
      <c r="P60" s="7" t="b">
        <f>IFERROR(__xludf.DUMMYFUNCTION("""COMPUTED_VALUE"""),FALSE)</f>
        <v>0</v>
      </c>
      <c r="Q60" s="7" t="b">
        <f>IFERROR(__xludf.DUMMYFUNCTION("""COMPUTED_VALUE"""),FALSE)</f>
        <v>0</v>
      </c>
      <c r="S60" s="7" t="s">
        <v>69</v>
      </c>
      <c r="T60" s="8">
        <f t="array" ref="T60">XLOOKUP(S60, MAPK8IP3, B3:B1000, XLOOKUP(S60, ZC4H2, H3:H1000, XLOOKUP(S60, SLC6A1, N3:N1000)))</f>
        <v>5</v>
      </c>
      <c r="U60" s="8">
        <f t="array" ref="U60">XLOOKUP(S60, MAPK8IP3, C3:C1000, XLOOKUP(S60, ZC4H2, I3:I1000, XLOOKUP(S60, SLC6A1, O3:O1000)))</f>
        <v>3</v>
      </c>
      <c r="V60" s="7" t="b">
        <f t="array" ref="V60">XLOOKUP(S60, MAPK8IP3, D3:D1000, XLOOKUP(S60, ZC4H2, J3:J1000, XLOOKUP(S60, SLC6A1, P3:P1000)))</f>
        <v>0</v>
      </c>
    </row>
    <row r="61">
      <c r="A61" s="7" t="str">
        <f>IFERROR(__xludf.DUMMYFUNCTION("""COMPUTED_VALUE"""),"Bepotastine")</f>
        <v>Bepotastine</v>
      </c>
      <c r="B61" s="8">
        <f>IFERROR(__xludf.DUMMYFUNCTION("""COMPUTED_VALUE"""),2.0)</f>
        <v>2</v>
      </c>
      <c r="C61" s="8">
        <f>IFERROR(__xludf.DUMMYFUNCTION("""COMPUTED_VALUE"""),3.0)</f>
        <v>3</v>
      </c>
      <c r="D61" s="7" t="b">
        <f>IFERROR(__xludf.DUMMYFUNCTION("""COMPUTED_VALUE"""),FALSE)</f>
        <v>0</v>
      </c>
      <c r="E61" s="7" t="b">
        <f>IFERROR(__xludf.DUMMYFUNCTION("""COMPUTED_VALUE"""),FALSE)</f>
        <v>0</v>
      </c>
      <c r="G61" s="7" t="str">
        <f>IFERROR(__xludf.DUMMYFUNCTION("""COMPUTED_VALUE"""),"Flunarizine")</f>
        <v>Flunarizine</v>
      </c>
      <c r="H61" s="8">
        <f>IFERROR(__xludf.DUMMYFUNCTION("""COMPUTED_VALUE"""),2.0)</f>
        <v>2</v>
      </c>
      <c r="I61" s="8">
        <f>IFERROR(__xludf.DUMMYFUNCTION("""COMPUTED_VALUE"""),3.0)</f>
        <v>3</v>
      </c>
      <c r="J61" s="7" t="b">
        <f>IFERROR(__xludf.DUMMYFUNCTION("""COMPUTED_VALUE"""),FALSE)</f>
        <v>0</v>
      </c>
      <c r="K61" s="7" t="b">
        <f>IFERROR(__xludf.DUMMYFUNCTION("""COMPUTED_VALUE"""),FALSE)</f>
        <v>0</v>
      </c>
      <c r="M61" s="7" t="str">
        <f>IFERROR(__xludf.DUMMYFUNCTION("""COMPUTED_VALUE"""),"Methylprednisolone")</f>
        <v>Methylprednisolone</v>
      </c>
      <c r="N61" s="8">
        <f>IFERROR(__xludf.DUMMYFUNCTION("""COMPUTED_VALUE"""),4.0)</f>
        <v>4</v>
      </c>
      <c r="O61" s="8">
        <f>IFERROR(__xludf.DUMMYFUNCTION("""COMPUTED_VALUE"""),3.0)</f>
        <v>3</v>
      </c>
      <c r="P61" s="7" t="b">
        <f>IFERROR(__xludf.DUMMYFUNCTION("""COMPUTED_VALUE"""),FALSE)</f>
        <v>0</v>
      </c>
      <c r="Q61" s="7" t="b">
        <f>IFERROR(__xludf.DUMMYFUNCTION("""COMPUTED_VALUE"""),FALSE)</f>
        <v>0</v>
      </c>
      <c r="S61" s="7" t="s">
        <v>70</v>
      </c>
      <c r="T61" s="8">
        <f t="array" ref="T61">XLOOKUP(S61, MAPK8IP3, B3:B1000, XLOOKUP(S61, ZC4H2, H3:H1000, XLOOKUP(S61, SLC6A1, N3:N1000)))</f>
        <v>6</v>
      </c>
      <c r="U61" s="8">
        <f t="array" ref="U61">XLOOKUP(S61, MAPK8IP3, C3:C1000, XLOOKUP(S61, ZC4H2, I3:I1000, XLOOKUP(S61, SLC6A1, O3:O1000)))</f>
        <v>3</v>
      </c>
      <c r="V61" s="7" t="b">
        <f t="array" ref="V61">XLOOKUP(S61, MAPK8IP3, D3:D1000, XLOOKUP(S61, ZC4H2, J3:J1000, XLOOKUP(S61, SLC6A1, P3:P1000)))</f>
        <v>0</v>
      </c>
    </row>
    <row r="62">
      <c r="A62" s="7" t="str">
        <f>IFERROR(__xludf.DUMMYFUNCTION("""COMPUTED_VALUE"""),"Bisoprolol")</f>
        <v>Bisoprolol</v>
      </c>
      <c r="B62" s="8">
        <f>IFERROR(__xludf.DUMMYFUNCTION("""COMPUTED_VALUE"""),2.0)</f>
        <v>2</v>
      </c>
      <c r="C62" s="8">
        <f>IFERROR(__xludf.DUMMYFUNCTION("""COMPUTED_VALUE"""),3.0)</f>
        <v>3</v>
      </c>
      <c r="D62" s="7" t="b">
        <f>IFERROR(__xludf.DUMMYFUNCTION("""COMPUTED_VALUE"""),FALSE)</f>
        <v>0</v>
      </c>
      <c r="E62" s="7" t="b">
        <f>IFERROR(__xludf.DUMMYFUNCTION("""COMPUTED_VALUE"""),FALSE)</f>
        <v>0</v>
      </c>
      <c r="G62" s="7" t="str">
        <f>IFERROR(__xludf.DUMMYFUNCTION("""COMPUTED_VALUE"""),"gamma-Hydroxybutyric acid")</f>
        <v>gamma-Hydroxybutyric acid</v>
      </c>
      <c r="H62" s="8">
        <f>IFERROR(__xludf.DUMMYFUNCTION("""COMPUTED_VALUE"""),2.0)</f>
        <v>2</v>
      </c>
      <c r="I62" s="8">
        <f>IFERROR(__xludf.DUMMYFUNCTION("""COMPUTED_VALUE"""),3.0)</f>
        <v>3</v>
      </c>
      <c r="J62" s="7" t="b">
        <f>IFERROR(__xludf.DUMMYFUNCTION("""COMPUTED_VALUE"""),FALSE)</f>
        <v>0</v>
      </c>
      <c r="K62" s="7" t="b">
        <f>IFERROR(__xludf.DUMMYFUNCTION("""COMPUTED_VALUE"""),FALSE)</f>
        <v>0</v>
      </c>
      <c r="M62" s="7" t="str">
        <f>IFERROR(__xludf.DUMMYFUNCTION("""COMPUTED_VALUE"""),"Metoprolol")</f>
        <v>Metoprolol</v>
      </c>
      <c r="N62" s="8">
        <f>IFERROR(__xludf.DUMMYFUNCTION("""COMPUTED_VALUE"""),6.0)</f>
        <v>6</v>
      </c>
      <c r="O62" s="8">
        <f>IFERROR(__xludf.DUMMYFUNCTION("""COMPUTED_VALUE"""),3.0)</f>
        <v>3</v>
      </c>
      <c r="P62" s="7" t="b">
        <f>IFERROR(__xludf.DUMMYFUNCTION("""COMPUTED_VALUE"""),FALSE)</f>
        <v>0</v>
      </c>
      <c r="Q62" s="7" t="b">
        <f>IFERROR(__xludf.DUMMYFUNCTION("""COMPUTED_VALUE"""),FALSE)</f>
        <v>0</v>
      </c>
      <c r="S62" s="7" t="s">
        <v>71</v>
      </c>
      <c r="T62" s="8">
        <f t="array" ref="T62">XLOOKUP(S62, MAPK8IP3, B3:B1000, XLOOKUP(S62, ZC4H2, H3:H1000, XLOOKUP(S62, SLC6A1, N3:N1000)))</f>
        <v>4</v>
      </c>
      <c r="U62" s="8">
        <f t="array" ref="U62">XLOOKUP(S62, MAPK8IP3, C3:C1000, XLOOKUP(S62, ZC4H2, I3:I1000, XLOOKUP(S62, SLC6A1, O3:O1000)))</f>
        <v>3</v>
      </c>
      <c r="V62" s="7" t="b">
        <f t="array" ref="V62">XLOOKUP(S62, MAPK8IP3, D3:D1000, XLOOKUP(S62, ZC4H2, J3:J1000, XLOOKUP(S62, SLC6A1, P3:P1000)))</f>
        <v>0</v>
      </c>
    </row>
    <row r="63">
      <c r="A63" s="7" t="str">
        <f>IFERROR(__xludf.DUMMYFUNCTION("""COMPUTED_VALUE"""),"Cefoperazone")</f>
        <v>Cefoperazone</v>
      </c>
      <c r="B63" s="8">
        <f>IFERROR(__xludf.DUMMYFUNCTION("""COMPUTED_VALUE"""),2.0)</f>
        <v>2</v>
      </c>
      <c r="C63" s="8">
        <f>IFERROR(__xludf.DUMMYFUNCTION("""COMPUTED_VALUE"""),2.0)</f>
        <v>2</v>
      </c>
      <c r="D63" s="7" t="b">
        <f>IFERROR(__xludf.DUMMYFUNCTION("""COMPUTED_VALUE"""),TRUE)</f>
        <v>1</v>
      </c>
      <c r="E63" s="7" t="b">
        <f>IFERROR(__xludf.DUMMYFUNCTION("""COMPUTED_VALUE"""),TRUE)</f>
        <v>1</v>
      </c>
      <c r="G63" s="7" t="str">
        <f>IFERROR(__xludf.DUMMYFUNCTION("""COMPUTED_VALUE"""),"Human immunoglobulin G")</f>
        <v>Human immunoglobulin G</v>
      </c>
      <c r="H63" s="8">
        <f>IFERROR(__xludf.DUMMYFUNCTION("""COMPUTED_VALUE"""),2.0)</f>
        <v>2</v>
      </c>
      <c r="I63" s="8">
        <f>IFERROR(__xludf.DUMMYFUNCTION("""COMPUTED_VALUE"""),3.0)</f>
        <v>3</v>
      </c>
      <c r="J63" s="7" t="b">
        <f>IFERROR(__xludf.DUMMYFUNCTION("""COMPUTED_VALUE"""),FALSE)</f>
        <v>0</v>
      </c>
      <c r="K63" s="7" t="b">
        <f>IFERROR(__xludf.DUMMYFUNCTION("""COMPUTED_VALUE"""),FALSE)</f>
        <v>0</v>
      </c>
      <c r="M63" s="7" t="str">
        <f>IFERROR(__xludf.DUMMYFUNCTION("""COMPUTED_VALUE"""),"Metyrapone")</f>
        <v>Metyrapone</v>
      </c>
      <c r="N63" s="8">
        <f>IFERROR(__xludf.DUMMYFUNCTION("""COMPUTED_VALUE"""),1.0)</f>
        <v>1</v>
      </c>
      <c r="O63" s="8">
        <f>IFERROR(__xludf.DUMMYFUNCTION("""COMPUTED_VALUE"""),3.0)</f>
        <v>3</v>
      </c>
      <c r="P63" s="7" t="b">
        <f>IFERROR(__xludf.DUMMYFUNCTION("""COMPUTED_VALUE"""),FALSE)</f>
        <v>0</v>
      </c>
      <c r="Q63" s="7" t="b">
        <f>IFERROR(__xludf.DUMMYFUNCTION("""COMPUTED_VALUE"""),FALSE)</f>
        <v>0</v>
      </c>
      <c r="S63" s="7" t="s">
        <v>72</v>
      </c>
      <c r="T63" s="8">
        <f t="array" ref="T63">XLOOKUP(S63, MAPK8IP3, B3:B1000, XLOOKUP(S63, ZC4H2, H3:H1000, XLOOKUP(S63, SLC6A1, N3:N1000)))</f>
        <v>1</v>
      </c>
      <c r="U63" s="8">
        <f t="array" ref="U63">XLOOKUP(S63, MAPK8IP3, C3:C1000, XLOOKUP(S63, ZC4H2, I3:I1000, XLOOKUP(S63, SLC6A1, O3:O1000)))</f>
        <v>3</v>
      </c>
      <c r="V63" s="7" t="b">
        <f t="array" ref="V63">XLOOKUP(S63, MAPK8IP3, D3:D1000, XLOOKUP(S63, ZC4H2, J3:J1000, XLOOKUP(S63, SLC6A1, P3:P1000)))</f>
        <v>0</v>
      </c>
    </row>
    <row r="64">
      <c r="A64" s="7" t="str">
        <f>IFERROR(__xludf.DUMMYFUNCTION("""COMPUTED_VALUE"""),"Dexmedetomidine")</f>
        <v>Dexmedetomidine</v>
      </c>
      <c r="B64" s="8">
        <f>IFERROR(__xludf.DUMMYFUNCTION("""COMPUTED_VALUE"""),2.0)</f>
        <v>2</v>
      </c>
      <c r="C64" s="8">
        <f>IFERROR(__xludf.DUMMYFUNCTION("""COMPUTED_VALUE"""),3.0)</f>
        <v>3</v>
      </c>
      <c r="D64" s="7" t="b">
        <f>IFERROR(__xludf.DUMMYFUNCTION("""COMPUTED_VALUE"""),FALSE)</f>
        <v>0</v>
      </c>
      <c r="E64" s="7" t="b">
        <f>IFERROR(__xludf.DUMMYFUNCTION("""COMPUTED_VALUE"""),FALSE)</f>
        <v>0</v>
      </c>
      <c r="G64" s="7" t="str">
        <f>IFERROR(__xludf.DUMMYFUNCTION("""COMPUTED_VALUE"""),"Primidone")</f>
        <v>Primidone</v>
      </c>
      <c r="H64" s="8">
        <f>IFERROR(__xludf.DUMMYFUNCTION("""COMPUTED_VALUE"""),2.0)</f>
        <v>2</v>
      </c>
      <c r="I64" s="8">
        <f>IFERROR(__xludf.DUMMYFUNCTION("""COMPUTED_VALUE"""),3.0)</f>
        <v>3</v>
      </c>
      <c r="J64" s="7" t="b">
        <f>IFERROR(__xludf.DUMMYFUNCTION("""COMPUTED_VALUE"""),FALSE)</f>
        <v>0</v>
      </c>
      <c r="K64" s="7" t="b">
        <f>IFERROR(__xludf.DUMMYFUNCTION("""COMPUTED_VALUE"""),FALSE)</f>
        <v>0</v>
      </c>
      <c r="M64" s="7" t="str">
        <f>IFERROR(__xludf.DUMMYFUNCTION("""COMPUTED_VALUE"""),"Midodrine")</f>
        <v>Midodrine</v>
      </c>
      <c r="N64" s="8">
        <f>IFERROR(__xludf.DUMMYFUNCTION("""COMPUTED_VALUE"""),5.0)</f>
        <v>5</v>
      </c>
      <c r="O64" s="8">
        <f>IFERROR(__xludf.DUMMYFUNCTION("""COMPUTED_VALUE"""),3.0)</f>
        <v>3</v>
      </c>
      <c r="P64" s="7" t="b">
        <f>IFERROR(__xludf.DUMMYFUNCTION("""COMPUTED_VALUE"""),FALSE)</f>
        <v>0</v>
      </c>
      <c r="Q64" s="7" t="b">
        <f>IFERROR(__xludf.DUMMYFUNCTION("""COMPUTED_VALUE"""),FALSE)</f>
        <v>0</v>
      </c>
      <c r="S64" s="7" t="s">
        <v>73</v>
      </c>
      <c r="T64" s="8">
        <f t="array" ref="T64">XLOOKUP(S64, MAPK8IP3, B3:B1000, XLOOKUP(S64, ZC4H2, H3:H1000, XLOOKUP(S64, SLC6A1, N3:N1000)))</f>
        <v>4</v>
      </c>
      <c r="U64" s="8">
        <f t="array" ref="U64">XLOOKUP(S64, MAPK8IP3, C3:C1000, XLOOKUP(S64, ZC4H2, I3:I1000, XLOOKUP(S64, SLC6A1, O3:O1000)))</f>
        <v>3</v>
      </c>
      <c r="V64" s="7" t="b">
        <f t="array" ref="V64">XLOOKUP(S64, MAPK8IP3, D3:D1000, XLOOKUP(S64, ZC4H2, J3:J1000, XLOOKUP(S64, SLC6A1, P3:P1000)))</f>
        <v>1</v>
      </c>
    </row>
    <row r="65">
      <c r="A65" s="7" t="str">
        <f>IFERROR(__xludf.DUMMYFUNCTION("""COMPUTED_VALUE"""),"Eplerenone")</f>
        <v>Eplerenone</v>
      </c>
      <c r="B65" s="8">
        <f>IFERROR(__xludf.DUMMYFUNCTION("""COMPUTED_VALUE"""),2.0)</f>
        <v>2</v>
      </c>
      <c r="C65" s="8">
        <f>IFERROR(__xludf.DUMMYFUNCTION("""COMPUTED_VALUE"""),3.0)</f>
        <v>3</v>
      </c>
      <c r="D65" s="7" t="b">
        <f>IFERROR(__xludf.DUMMYFUNCTION("""COMPUTED_VALUE"""),FALSE)</f>
        <v>0</v>
      </c>
      <c r="E65" s="7" t="b">
        <f>IFERROR(__xludf.DUMMYFUNCTION("""COMPUTED_VALUE"""),FALSE)</f>
        <v>0</v>
      </c>
      <c r="G65" s="7" t="str">
        <f>IFERROR(__xludf.DUMMYFUNCTION("""COMPUTED_VALUE"""),"Progesterone")</f>
        <v>Progesterone</v>
      </c>
      <c r="H65" s="8">
        <f>IFERROR(__xludf.DUMMYFUNCTION("""COMPUTED_VALUE"""),2.0)</f>
        <v>2</v>
      </c>
      <c r="I65" s="8">
        <f>IFERROR(__xludf.DUMMYFUNCTION("""COMPUTED_VALUE"""),3.0)</f>
        <v>3</v>
      </c>
      <c r="J65" s="7" t="b">
        <f>IFERROR(__xludf.DUMMYFUNCTION("""COMPUTED_VALUE"""),FALSE)</f>
        <v>0</v>
      </c>
      <c r="K65" s="7" t="b">
        <f>IFERROR(__xludf.DUMMYFUNCTION("""COMPUTED_VALUE"""),FALSE)</f>
        <v>0</v>
      </c>
      <c r="M65" s="7" t="str">
        <f>IFERROR(__xludf.DUMMYFUNCTION("""COMPUTED_VALUE"""),"Moclobemide")</f>
        <v>Moclobemide</v>
      </c>
      <c r="N65" s="8">
        <f>IFERROR(__xludf.DUMMYFUNCTION("""COMPUTED_VALUE"""),1.0)</f>
        <v>1</v>
      </c>
      <c r="O65" s="8">
        <f>IFERROR(__xludf.DUMMYFUNCTION("""COMPUTED_VALUE"""),3.0)</f>
        <v>3</v>
      </c>
      <c r="P65" s="7" t="b">
        <f>IFERROR(__xludf.DUMMYFUNCTION("""COMPUTED_VALUE"""),FALSE)</f>
        <v>0</v>
      </c>
      <c r="Q65" s="7" t="b">
        <f>IFERROR(__xludf.DUMMYFUNCTION("""COMPUTED_VALUE"""),FALSE)</f>
        <v>0</v>
      </c>
      <c r="S65" s="7" t="s">
        <v>74</v>
      </c>
      <c r="T65" s="8">
        <f t="array" ref="T65">XLOOKUP(S65, MAPK8IP3, B3:B1000, XLOOKUP(S65, ZC4H2, H3:H1000, XLOOKUP(S65, SLC6A1, N3:N1000)))</f>
        <v>2</v>
      </c>
      <c r="U65" s="8">
        <f t="array" ref="U65">XLOOKUP(S65, MAPK8IP3, C3:C1000, XLOOKUP(S65, ZC4H2, I3:I1000, XLOOKUP(S65, SLC6A1, O3:O1000)))</f>
        <v>3</v>
      </c>
      <c r="V65" s="7" t="b">
        <f t="array" ref="V65">XLOOKUP(S65, MAPK8IP3, D3:D1000, XLOOKUP(S65, ZC4H2, J3:J1000, XLOOKUP(S65, SLC6A1, P3:P1000)))</f>
        <v>0</v>
      </c>
    </row>
    <row r="66">
      <c r="A66" s="7" t="str">
        <f>IFERROR(__xludf.DUMMYFUNCTION("""COMPUTED_VALUE"""),"Ethosuximide")</f>
        <v>Ethosuximide</v>
      </c>
      <c r="B66" s="8">
        <f>IFERROR(__xludf.DUMMYFUNCTION("""COMPUTED_VALUE"""),2.0)</f>
        <v>2</v>
      </c>
      <c r="C66" s="8">
        <f>IFERROR(__xludf.DUMMYFUNCTION("""COMPUTED_VALUE"""),3.0)</f>
        <v>3</v>
      </c>
      <c r="D66" s="7" t="b">
        <f>IFERROR(__xludf.DUMMYFUNCTION("""COMPUTED_VALUE"""),FALSE)</f>
        <v>0</v>
      </c>
      <c r="E66" s="7" t="b">
        <f>IFERROR(__xludf.DUMMYFUNCTION("""COMPUTED_VALUE"""),FALSE)</f>
        <v>0</v>
      </c>
      <c r="G66" s="7" t="str">
        <f>IFERROR(__xludf.DUMMYFUNCTION("""COMPUTED_VALUE"""),"Pyridostigmine")</f>
        <v>Pyridostigmine</v>
      </c>
      <c r="H66" s="8">
        <f>IFERROR(__xludf.DUMMYFUNCTION("""COMPUTED_VALUE"""),2.0)</f>
        <v>2</v>
      </c>
      <c r="I66" s="8">
        <f>IFERROR(__xludf.DUMMYFUNCTION("""COMPUTED_VALUE"""),3.0)</f>
        <v>3</v>
      </c>
      <c r="J66" s="7" t="b">
        <f>IFERROR(__xludf.DUMMYFUNCTION("""COMPUTED_VALUE"""),FALSE)</f>
        <v>0</v>
      </c>
      <c r="K66" s="7" t="b">
        <f>IFERROR(__xludf.DUMMYFUNCTION("""COMPUTED_VALUE"""),FALSE)</f>
        <v>0</v>
      </c>
      <c r="M66" s="7" t="str">
        <f>IFERROR(__xludf.DUMMYFUNCTION("""COMPUTED_VALUE"""),"Nadolol")</f>
        <v>Nadolol</v>
      </c>
      <c r="N66" s="8">
        <f>IFERROR(__xludf.DUMMYFUNCTION("""COMPUTED_VALUE"""),3.0)</f>
        <v>3</v>
      </c>
      <c r="O66" s="8">
        <f>IFERROR(__xludf.DUMMYFUNCTION("""COMPUTED_VALUE"""),3.0)</f>
        <v>3</v>
      </c>
      <c r="P66" s="7" t="b">
        <f>IFERROR(__xludf.DUMMYFUNCTION("""COMPUTED_VALUE"""),FALSE)</f>
        <v>0</v>
      </c>
      <c r="Q66" s="7" t="b">
        <f>IFERROR(__xludf.DUMMYFUNCTION("""COMPUTED_VALUE"""),FALSE)</f>
        <v>0</v>
      </c>
      <c r="S66" s="7" t="s">
        <v>75</v>
      </c>
      <c r="T66" s="7">
        <f t="array" ref="T66">XLOOKUP(S66, MAPK8IP3, B3:B1000, XLOOKUP(S66, ZC4H2, H3:H1000, XLOOKUP(S66, SLC6A1, N3:N1000)))</f>
        <v>1</v>
      </c>
      <c r="U66" s="7">
        <f t="array" ref="U66">XLOOKUP(S66, MAPK8IP3, C3:C1000, XLOOKUP(S66, ZC4H2, I3:I1000, XLOOKUP(S66, SLC6A1, O3:O1000)))</f>
        <v>3</v>
      </c>
      <c r="V66" s="7" t="b">
        <f t="array" ref="V66">XLOOKUP(S66, MAPK8IP3, D3:D1000, XLOOKUP(S66, ZC4H2, J3:J1000, XLOOKUP(S66, SLC6A1, P3:P1000)))</f>
        <v>0</v>
      </c>
    </row>
    <row r="67">
      <c r="A67" s="7" t="str">
        <f>IFERROR(__xludf.DUMMYFUNCTION("""COMPUTED_VALUE"""),"Flunarizine")</f>
        <v>Flunarizine</v>
      </c>
      <c r="B67" s="8">
        <f>IFERROR(__xludf.DUMMYFUNCTION("""COMPUTED_VALUE"""),2.0)</f>
        <v>2</v>
      </c>
      <c r="C67" s="8">
        <f>IFERROR(__xludf.DUMMYFUNCTION("""COMPUTED_VALUE"""),3.0)</f>
        <v>3</v>
      </c>
      <c r="D67" s="7" t="b">
        <f>IFERROR(__xludf.DUMMYFUNCTION("""COMPUTED_VALUE"""),FALSE)</f>
        <v>0</v>
      </c>
      <c r="E67" s="7" t="b">
        <f>IFERROR(__xludf.DUMMYFUNCTION("""COMPUTED_VALUE"""),FALSE)</f>
        <v>0</v>
      </c>
      <c r="G67" s="7" t="str">
        <f>IFERROR(__xludf.DUMMYFUNCTION("""COMPUTED_VALUE"""),"Rivastigmine")</f>
        <v>Rivastigmine</v>
      </c>
      <c r="H67" s="8">
        <f>IFERROR(__xludf.DUMMYFUNCTION("""COMPUTED_VALUE"""),2.0)</f>
        <v>2</v>
      </c>
      <c r="I67" s="8">
        <f>IFERROR(__xludf.DUMMYFUNCTION("""COMPUTED_VALUE"""),3.0)</f>
        <v>3</v>
      </c>
      <c r="J67" s="7" t="b">
        <f>IFERROR(__xludf.DUMMYFUNCTION("""COMPUTED_VALUE"""),TRUE)</f>
        <v>1</v>
      </c>
      <c r="K67" s="7" t="b">
        <f>IFERROR(__xludf.DUMMYFUNCTION("""COMPUTED_VALUE"""),FALSE)</f>
        <v>0</v>
      </c>
      <c r="M67" s="7" t="str">
        <f>IFERROR(__xludf.DUMMYFUNCTION("""COMPUTED_VALUE"""),"Nalbuphine")</f>
        <v>Nalbuphine</v>
      </c>
      <c r="N67" s="8">
        <f>IFERROR(__xludf.DUMMYFUNCTION("""COMPUTED_VALUE"""),0.0)</f>
        <v>0</v>
      </c>
      <c r="O67" s="8">
        <f>IFERROR(__xludf.DUMMYFUNCTION("""COMPUTED_VALUE"""),3.0)</f>
        <v>3</v>
      </c>
      <c r="P67" s="7" t="b">
        <f>IFERROR(__xludf.DUMMYFUNCTION("""COMPUTED_VALUE"""),FALSE)</f>
        <v>0</v>
      </c>
      <c r="Q67" s="7" t="b">
        <f>IFERROR(__xludf.DUMMYFUNCTION("""COMPUTED_VALUE"""),FALSE)</f>
        <v>0</v>
      </c>
      <c r="S67" s="7" t="s">
        <v>76</v>
      </c>
      <c r="T67" s="8">
        <f t="array" ref="T67">XLOOKUP(S67, MAPK8IP3, B3:B1000, XLOOKUP(S67, ZC4H2, H3:H1000, XLOOKUP(S67, SLC6A1, N3:N1000)))</f>
        <v>2</v>
      </c>
      <c r="U67" s="8">
        <f t="array" ref="U67">XLOOKUP(S67, MAPK8IP3, C3:C1000, XLOOKUP(S67, ZC4H2, I3:I1000, XLOOKUP(S67, SLC6A1, O3:O1000)))</f>
        <v>2</v>
      </c>
      <c r="V67" s="7" t="b">
        <f t="array" ref="V67">XLOOKUP(S67, MAPK8IP3, D3:D1000, XLOOKUP(S67, ZC4H2, J3:J1000, XLOOKUP(S67, SLC6A1, P3:P1000)))</f>
        <v>1</v>
      </c>
    </row>
    <row r="68">
      <c r="A68" s="7" t="str">
        <f>IFERROR(__xludf.DUMMYFUNCTION("""COMPUTED_VALUE"""),"gamma-Hydroxybutyric acid")</f>
        <v>gamma-Hydroxybutyric acid</v>
      </c>
      <c r="B68" s="8">
        <f>IFERROR(__xludf.DUMMYFUNCTION("""COMPUTED_VALUE"""),2.0)</f>
        <v>2</v>
      </c>
      <c r="C68" s="8">
        <f>IFERROR(__xludf.DUMMYFUNCTION("""COMPUTED_VALUE"""),3.0)</f>
        <v>3</v>
      </c>
      <c r="D68" s="7" t="b">
        <f>IFERROR(__xludf.DUMMYFUNCTION("""COMPUTED_VALUE"""),FALSE)</f>
        <v>0</v>
      </c>
      <c r="E68" s="7" t="b">
        <f>IFERROR(__xludf.DUMMYFUNCTION("""COMPUTED_VALUE"""),FALSE)</f>
        <v>0</v>
      </c>
      <c r="G68" s="7" t="str">
        <f>IFERROR(__xludf.DUMMYFUNCTION("""COMPUTED_VALUE"""),"Terbinafine")</f>
        <v>Terbinafine</v>
      </c>
      <c r="H68" s="8">
        <f>IFERROR(__xludf.DUMMYFUNCTION("""COMPUTED_VALUE"""),2.0)</f>
        <v>2</v>
      </c>
      <c r="I68" s="8">
        <f>IFERROR(__xludf.DUMMYFUNCTION("""COMPUTED_VALUE"""),3.0)</f>
        <v>3</v>
      </c>
      <c r="J68" s="7" t="b">
        <f>IFERROR(__xludf.DUMMYFUNCTION("""COMPUTED_VALUE"""),FALSE)</f>
        <v>0</v>
      </c>
      <c r="K68" s="7" t="b">
        <f>IFERROR(__xludf.DUMMYFUNCTION("""COMPUTED_VALUE"""),FALSE)</f>
        <v>0</v>
      </c>
      <c r="M68" s="7" t="str">
        <f>IFERROR(__xludf.DUMMYFUNCTION("""COMPUTED_VALUE"""),"Naloxone")</f>
        <v>Naloxone</v>
      </c>
      <c r="N68" s="8">
        <f>IFERROR(__xludf.DUMMYFUNCTION("""COMPUTED_VALUE"""),3.0)</f>
        <v>3</v>
      </c>
      <c r="O68" s="8">
        <f>IFERROR(__xludf.DUMMYFUNCTION("""COMPUTED_VALUE"""),3.0)</f>
        <v>3</v>
      </c>
      <c r="P68" s="7" t="b">
        <f>IFERROR(__xludf.DUMMYFUNCTION("""COMPUTED_VALUE"""),FALSE)</f>
        <v>0</v>
      </c>
      <c r="Q68" s="7" t="b">
        <f>IFERROR(__xludf.DUMMYFUNCTION("""COMPUTED_VALUE"""),FALSE)</f>
        <v>0</v>
      </c>
      <c r="S68" s="7" t="s">
        <v>77</v>
      </c>
      <c r="T68" s="8">
        <f t="array" ref="T68">XLOOKUP(S68, MAPK8IP3, B3:B1000, XLOOKUP(S68, ZC4H2, H3:H1000, XLOOKUP(S68, SLC6A1, N3:N1000)))</f>
        <v>3</v>
      </c>
      <c r="U68" s="8">
        <f t="array" ref="U68">XLOOKUP(S68, MAPK8IP3, C3:C1000, XLOOKUP(S68, ZC4H2, I3:I1000, XLOOKUP(S68, SLC6A1, O3:O1000)))</f>
        <v>3</v>
      </c>
      <c r="V68" s="7" t="b">
        <f t="array" ref="V68">XLOOKUP(S68, MAPK8IP3, D3:D1000, XLOOKUP(S68, ZC4H2, J3:J1000, XLOOKUP(S68, SLC6A1, P3:P1000)))</f>
        <v>0</v>
      </c>
    </row>
    <row r="69">
      <c r="A69" s="7" t="str">
        <f>IFERROR(__xludf.DUMMYFUNCTION("""COMPUTED_VALUE"""),"Human immunoglobulin G")</f>
        <v>Human immunoglobulin G</v>
      </c>
      <c r="B69" s="8">
        <f>IFERROR(__xludf.DUMMYFUNCTION("""COMPUTED_VALUE"""),2.0)</f>
        <v>2</v>
      </c>
      <c r="C69" s="8">
        <f>IFERROR(__xludf.DUMMYFUNCTION("""COMPUTED_VALUE"""),3.0)</f>
        <v>3</v>
      </c>
      <c r="D69" s="7" t="b">
        <f>IFERROR(__xludf.DUMMYFUNCTION("""COMPUTED_VALUE"""),FALSE)</f>
        <v>0</v>
      </c>
      <c r="E69" s="7" t="b">
        <f>IFERROR(__xludf.DUMMYFUNCTION("""COMPUTED_VALUE"""),FALSE)</f>
        <v>0</v>
      </c>
      <c r="G69" s="7" t="str">
        <f>IFERROR(__xludf.DUMMYFUNCTION("""COMPUTED_VALUE"""),"Tranexamic acid")</f>
        <v>Tranexamic acid</v>
      </c>
      <c r="H69" s="8">
        <f>IFERROR(__xludf.DUMMYFUNCTION("""COMPUTED_VALUE"""),2.0)</f>
        <v>2</v>
      </c>
      <c r="I69" s="8">
        <f>IFERROR(__xludf.DUMMYFUNCTION("""COMPUTED_VALUE"""),3.0)</f>
        <v>3</v>
      </c>
      <c r="J69" s="7" t="b">
        <f>IFERROR(__xludf.DUMMYFUNCTION("""COMPUTED_VALUE"""),FALSE)</f>
        <v>0</v>
      </c>
      <c r="K69" s="7" t="b">
        <f>IFERROR(__xludf.DUMMYFUNCTION("""COMPUTED_VALUE"""),FALSE)</f>
        <v>0</v>
      </c>
      <c r="M69" s="7" t="str">
        <f>IFERROR(__xludf.DUMMYFUNCTION("""COMPUTED_VALUE"""),"Natalizumab")</f>
        <v>Natalizumab</v>
      </c>
      <c r="N69" s="8">
        <f>IFERROR(__xludf.DUMMYFUNCTION("""COMPUTED_VALUE"""),0.0)</f>
        <v>0</v>
      </c>
      <c r="O69" s="8">
        <f>IFERROR(__xludf.DUMMYFUNCTION("""COMPUTED_VALUE"""),3.0)</f>
        <v>3</v>
      </c>
      <c r="P69" s="7" t="b">
        <f>IFERROR(__xludf.DUMMYFUNCTION("""COMPUTED_VALUE"""),FALSE)</f>
        <v>0</v>
      </c>
      <c r="Q69" s="7" t="b">
        <f>IFERROR(__xludf.DUMMYFUNCTION("""COMPUTED_VALUE"""),FALSE)</f>
        <v>0</v>
      </c>
      <c r="S69" s="7" t="s">
        <v>78</v>
      </c>
      <c r="T69" s="7">
        <f t="array" ref="T69">XLOOKUP(S69, MAPK8IP3, B3:B1000, XLOOKUP(S69, ZC4H2, H3:H1000, XLOOKUP(S69, SLC6A1, N3:N1000)))</f>
        <v>6</v>
      </c>
      <c r="U69" s="7">
        <f t="array" ref="U69">XLOOKUP(S69, MAPK8IP3, C3:C1000, XLOOKUP(S69, ZC4H2, I3:I1000, XLOOKUP(S69, SLC6A1, O3:O1000)))</f>
        <v>3</v>
      </c>
      <c r="V69" s="7" t="b">
        <f t="array" ref="V69">XLOOKUP(S69, MAPK8IP3, D3:D1000, XLOOKUP(S69, ZC4H2, J3:J1000, XLOOKUP(S69, SLC6A1, P3:P1000)))</f>
        <v>0</v>
      </c>
    </row>
    <row r="70">
      <c r="A70" s="7" t="str">
        <f>IFERROR(__xludf.DUMMYFUNCTION("""COMPUTED_VALUE"""),"Hydroxychloroquine")</f>
        <v>Hydroxychloroquine</v>
      </c>
      <c r="B70" s="8">
        <f>IFERROR(__xludf.DUMMYFUNCTION("""COMPUTED_VALUE"""),2.0)</f>
        <v>2</v>
      </c>
      <c r="C70" s="8">
        <f>IFERROR(__xludf.DUMMYFUNCTION("""COMPUTED_VALUE"""),2.0)</f>
        <v>2</v>
      </c>
      <c r="D70" s="7" t="b">
        <f>IFERROR(__xludf.DUMMYFUNCTION("""COMPUTED_VALUE"""),TRUE)</f>
        <v>1</v>
      </c>
      <c r="E70" s="7" t="b">
        <f>IFERROR(__xludf.DUMMYFUNCTION("""COMPUTED_VALUE"""),TRUE)</f>
        <v>1</v>
      </c>
      <c r="G70" s="7" t="str">
        <f>IFERROR(__xludf.DUMMYFUNCTION("""COMPUTED_VALUE"""),"Trihexyphenidyl")</f>
        <v>Trihexyphenidyl</v>
      </c>
      <c r="H70" s="8">
        <f>IFERROR(__xludf.DUMMYFUNCTION("""COMPUTED_VALUE"""),2.0)</f>
        <v>2</v>
      </c>
      <c r="I70" s="8">
        <f>IFERROR(__xludf.DUMMYFUNCTION("""COMPUTED_VALUE"""),3.0)</f>
        <v>3</v>
      </c>
      <c r="J70" s="7" t="b">
        <f>IFERROR(__xludf.DUMMYFUNCTION("""COMPUTED_VALUE"""),FALSE)</f>
        <v>0</v>
      </c>
      <c r="K70" s="7" t="b">
        <f>IFERROR(__xludf.DUMMYFUNCTION("""COMPUTED_VALUE"""),FALSE)</f>
        <v>0</v>
      </c>
      <c r="M70" s="7" t="str">
        <f>IFERROR(__xludf.DUMMYFUNCTION("""COMPUTED_VALUE"""),"Oseltamivir")</f>
        <v>Oseltamivir</v>
      </c>
      <c r="N70" s="8">
        <f>IFERROR(__xludf.DUMMYFUNCTION("""COMPUTED_VALUE"""),6.0)</f>
        <v>6</v>
      </c>
      <c r="O70" s="8">
        <f>IFERROR(__xludf.DUMMYFUNCTION("""COMPUTED_VALUE"""),3.0)</f>
        <v>3</v>
      </c>
      <c r="P70" s="7" t="b">
        <f>IFERROR(__xludf.DUMMYFUNCTION("""COMPUTED_VALUE"""),FALSE)</f>
        <v>0</v>
      </c>
      <c r="Q70" s="7" t="b">
        <f>IFERROR(__xludf.DUMMYFUNCTION("""COMPUTED_VALUE"""),FALSE)</f>
        <v>0</v>
      </c>
      <c r="S70" s="7" t="s">
        <v>79</v>
      </c>
      <c r="T70" s="8">
        <f t="array" ref="T70">XLOOKUP(S70, MAPK8IP3, B3:B1000, XLOOKUP(S70, ZC4H2, H3:H1000, XLOOKUP(S70, SLC6A1, N3:N1000)))</f>
        <v>3</v>
      </c>
      <c r="U70" s="8">
        <f t="array" ref="U70">XLOOKUP(S70, MAPK8IP3, C3:C1000, XLOOKUP(S70, ZC4H2, I3:I1000, XLOOKUP(S70, SLC6A1, O3:O1000)))</f>
        <v>3</v>
      </c>
      <c r="V70" s="7" t="b">
        <f t="array" ref="V70">XLOOKUP(S70, MAPK8IP3, D3:D1000, XLOOKUP(S70, ZC4H2, J3:J1000, XLOOKUP(S70, SLC6A1, P3:P1000)))</f>
        <v>0</v>
      </c>
    </row>
    <row r="71">
      <c r="A71" s="7" t="str">
        <f>IFERROR(__xludf.DUMMYFUNCTION("""COMPUTED_VALUE"""),"Primidone")</f>
        <v>Primidone</v>
      </c>
      <c r="B71" s="8">
        <f>IFERROR(__xludf.DUMMYFUNCTION("""COMPUTED_VALUE"""),2.0)</f>
        <v>2</v>
      </c>
      <c r="C71" s="8">
        <f>IFERROR(__xludf.DUMMYFUNCTION("""COMPUTED_VALUE"""),3.0)</f>
        <v>3</v>
      </c>
      <c r="D71" s="7" t="b">
        <f>IFERROR(__xludf.DUMMYFUNCTION("""COMPUTED_VALUE"""),FALSE)</f>
        <v>0</v>
      </c>
      <c r="E71" s="7" t="b">
        <f>IFERROR(__xludf.DUMMYFUNCTION("""COMPUTED_VALUE"""),FALSE)</f>
        <v>0</v>
      </c>
      <c r="G71" s="7" t="str">
        <f>IFERROR(__xludf.DUMMYFUNCTION("""COMPUTED_VALUE"""),"Acamprosate")</f>
        <v>Acamprosate</v>
      </c>
      <c r="H71" s="8">
        <f>IFERROR(__xludf.DUMMYFUNCTION("""COMPUTED_VALUE"""),1.0)</f>
        <v>1</v>
      </c>
      <c r="I71" s="8">
        <f>IFERROR(__xludf.DUMMYFUNCTION("""COMPUTED_VALUE"""),3.0)</f>
        <v>3</v>
      </c>
      <c r="J71" s="7" t="b">
        <f>IFERROR(__xludf.DUMMYFUNCTION("""COMPUTED_VALUE"""),FALSE)</f>
        <v>0</v>
      </c>
      <c r="K71" s="7" t="b">
        <f>IFERROR(__xludf.DUMMYFUNCTION("""COMPUTED_VALUE"""),FALSE)</f>
        <v>0</v>
      </c>
      <c r="M71" s="7" t="str">
        <f>IFERROR(__xludf.DUMMYFUNCTION("""COMPUTED_VALUE"""),"Oxybutynin")</f>
        <v>Oxybutynin</v>
      </c>
      <c r="N71" s="8">
        <f>IFERROR(__xludf.DUMMYFUNCTION("""COMPUTED_VALUE"""),1.0)</f>
        <v>1</v>
      </c>
      <c r="O71" s="8">
        <f>IFERROR(__xludf.DUMMYFUNCTION("""COMPUTED_VALUE"""),3.0)</f>
        <v>3</v>
      </c>
      <c r="P71" s="7" t="b">
        <f>IFERROR(__xludf.DUMMYFUNCTION("""COMPUTED_VALUE"""),FALSE)</f>
        <v>0</v>
      </c>
      <c r="Q71" s="7" t="b">
        <f>IFERROR(__xludf.DUMMYFUNCTION("""COMPUTED_VALUE"""),FALSE)</f>
        <v>0</v>
      </c>
      <c r="S71" s="7" t="s">
        <v>80</v>
      </c>
      <c r="T71" s="8">
        <f t="array" ref="T71">XLOOKUP(S71, MAPK8IP3, B3:B1000, XLOOKUP(S71, ZC4H2, H3:H1000, XLOOKUP(S71, SLC6A1, N3:N1000)))</f>
        <v>0</v>
      </c>
      <c r="U71" s="8">
        <f t="array" ref="U71">XLOOKUP(S71, MAPK8IP3, C3:C1000, XLOOKUP(S71, ZC4H2, I3:I1000, XLOOKUP(S71, SLC6A1, O3:O1000)))</f>
        <v>3</v>
      </c>
      <c r="V71" s="7" t="b">
        <f t="array" ref="V71">XLOOKUP(S71, MAPK8IP3, D3:D1000, XLOOKUP(S71, ZC4H2, J3:J1000, XLOOKUP(S71, SLC6A1, P3:P1000)))</f>
        <v>0</v>
      </c>
    </row>
    <row r="72">
      <c r="A72" s="7" t="str">
        <f>IFERROR(__xludf.DUMMYFUNCTION("""COMPUTED_VALUE"""),"Progesterone")</f>
        <v>Progesterone</v>
      </c>
      <c r="B72" s="8">
        <f>IFERROR(__xludf.DUMMYFUNCTION("""COMPUTED_VALUE"""),2.0)</f>
        <v>2</v>
      </c>
      <c r="C72" s="8">
        <f>IFERROR(__xludf.DUMMYFUNCTION("""COMPUTED_VALUE"""),3.0)</f>
        <v>3</v>
      </c>
      <c r="D72" s="7" t="b">
        <f>IFERROR(__xludf.DUMMYFUNCTION("""COMPUTED_VALUE"""),FALSE)</f>
        <v>0</v>
      </c>
      <c r="E72" s="7" t="b">
        <f>IFERROR(__xludf.DUMMYFUNCTION("""COMPUTED_VALUE"""),FALSE)</f>
        <v>0</v>
      </c>
      <c r="G72" s="7" t="str">
        <f>IFERROR(__xludf.DUMMYFUNCTION("""COMPUTED_VALUE"""),"Arsenic trioxide")</f>
        <v>Arsenic trioxide</v>
      </c>
      <c r="H72" s="8">
        <f>IFERROR(__xludf.DUMMYFUNCTION("""COMPUTED_VALUE"""),1.0)</f>
        <v>1</v>
      </c>
      <c r="I72" s="8">
        <f>IFERROR(__xludf.DUMMYFUNCTION("""COMPUTED_VALUE"""),3.0)</f>
        <v>3</v>
      </c>
      <c r="J72" s="7" t="b">
        <f>IFERROR(__xludf.DUMMYFUNCTION("""COMPUTED_VALUE"""),FALSE)</f>
        <v>0</v>
      </c>
      <c r="K72" s="7" t="b">
        <f>IFERROR(__xludf.DUMMYFUNCTION("""COMPUTED_VALUE"""),FALSE)</f>
        <v>0</v>
      </c>
      <c r="M72" s="7" t="str">
        <f>IFERROR(__xludf.DUMMYFUNCTION("""COMPUTED_VALUE"""),"Oxymetazoline")</f>
        <v>Oxymetazoline</v>
      </c>
      <c r="N72" s="8">
        <f>IFERROR(__xludf.DUMMYFUNCTION("""COMPUTED_VALUE"""),1.0)</f>
        <v>1</v>
      </c>
      <c r="O72" s="8">
        <f>IFERROR(__xludf.DUMMYFUNCTION("""COMPUTED_VALUE"""),3.0)</f>
        <v>3</v>
      </c>
      <c r="P72" s="7" t="b">
        <f>IFERROR(__xludf.DUMMYFUNCTION("""COMPUTED_VALUE"""),FALSE)</f>
        <v>0</v>
      </c>
      <c r="Q72" s="7" t="b">
        <f>IFERROR(__xludf.DUMMYFUNCTION("""COMPUTED_VALUE"""),FALSE)</f>
        <v>0</v>
      </c>
      <c r="S72" s="7" t="s">
        <v>81</v>
      </c>
      <c r="T72" s="8">
        <f t="array" ref="T72">XLOOKUP(S72, MAPK8IP3, B3:B1000, XLOOKUP(S72, ZC4H2, H3:H1000, XLOOKUP(S72, SLC6A1, N3:N1000)))</f>
        <v>0</v>
      </c>
      <c r="U72" s="8">
        <f t="array" ref="U72">XLOOKUP(S72, MAPK8IP3, C3:C1000, XLOOKUP(S72, ZC4H2, I3:I1000, XLOOKUP(S72, SLC6A1, O3:O1000)))</f>
        <v>3</v>
      </c>
      <c r="V72" s="7" t="b">
        <f t="array" ref="V72">XLOOKUP(S72, MAPK8IP3, D3:D1000, XLOOKUP(S72, ZC4H2, J3:J1000, XLOOKUP(S72, SLC6A1, P3:P1000)))</f>
        <v>0</v>
      </c>
    </row>
    <row r="73">
      <c r="A73" s="7" t="str">
        <f>IFERROR(__xludf.DUMMYFUNCTION("""COMPUTED_VALUE"""),"Pyridostigmine")</f>
        <v>Pyridostigmine</v>
      </c>
      <c r="B73" s="8">
        <f>IFERROR(__xludf.DUMMYFUNCTION("""COMPUTED_VALUE"""),2.0)</f>
        <v>2</v>
      </c>
      <c r="C73" s="8">
        <f>IFERROR(__xludf.DUMMYFUNCTION("""COMPUTED_VALUE"""),3.0)</f>
        <v>3</v>
      </c>
      <c r="D73" s="7" t="b">
        <f>IFERROR(__xludf.DUMMYFUNCTION("""COMPUTED_VALUE"""),FALSE)</f>
        <v>0</v>
      </c>
      <c r="E73" s="7" t="b">
        <f>IFERROR(__xludf.DUMMYFUNCTION("""COMPUTED_VALUE"""),FALSE)</f>
        <v>0</v>
      </c>
      <c r="G73" s="7" t="str">
        <f>IFERROR(__xludf.DUMMYFUNCTION("""COMPUTED_VALUE"""),"Butorphanol")</f>
        <v>Butorphanol</v>
      </c>
      <c r="H73" s="8">
        <f>IFERROR(__xludf.DUMMYFUNCTION("""COMPUTED_VALUE"""),1.0)</f>
        <v>1</v>
      </c>
      <c r="I73" s="8">
        <f>IFERROR(__xludf.DUMMYFUNCTION("""COMPUTED_VALUE"""),3.0)</f>
        <v>3</v>
      </c>
      <c r="J73" s="7" t="b">
        <f>IFERROR(__xludf.DUMMYFUNCTION("""COMPUTED_VALUE"""),FALSE)</f>
        <v>0</v>
      </c>
      <c r="K73" s="7" t="b">
        <f>IFERROR(__xludf.DUMMYFUNCTION("""COMPUTED_VALUE"""),FALSE)</f>
        <v>0</v>
      </c>
      <c r="M73" s="7" t="str">
        <f>IFERROR(__xludf.DUMMYFUNCTION("""COMPUTED_VALUE"""),"Paricalcitol")</f>
        <v>Paricalcitol</v>
      </c>
      <c r="N73" s="8">
        <f>IFERROR(__xludf.DUMMYFUNCTION("""COMPUTED_VALUE"""),1.0)</f>
        <v>1</v>
      </c>
      <c r="O73" s="8">
        <f>IFERROR(__xludf.DUMMYFUNCTION("""COMPUTED_VALUE"""),3.0)</f>
        <v>3</v>
      </c>
      <c r="P73" s="7" t="b">
        <f>IFERROR(__xludf.DUMMYFUNCTION("""COMPUTED_VALUE"""),FALSE)</f>
        <v>0</v>
      </c>
      <c r="Q73" s="7" t="b">
        <f>IFERROR(__xludf.DUMMYFUNCTION("""COMPUTED_VALUE"""),FALSE)</f>
        <v>0</v>
      </c>
      <c r="S73" s="7" t="s">
        <v>82</v>
      </c>
      <c r="T73" s="7">
        <f t="array" ref="T73">XLOOKUP(S73, MAPK8IP3, B3:B1000, XLOOKUP(S73, ZC4H2, H3:H1000, XLOOKUP(S73, SLC6A1, N3:N1000)))</f>
        <v>1</v>
      </c>
      <c r="U73" s="7">
        <f t="array" ref="U73">XLOOKUP(S73, MAPK8IP3, C3:C1000, XLOOKUP(S73, ZC4H2, I3:I1000, XLOOKUP(S73, SLC6A1, O3:O1000)))</f>
        <v>3</v>
      </c>
      <c r="V73" s="7" t="b">
        <f t="array" ref="V73">XLOOKUP(S73, MAPK8IP3, D3:D1000, XLOOKUP(S73, ZC4H2, J3:J1000, XLOOKUP(S73, SLC6A1, P3:P1000)))</f>
        <v>0</v>
      </c>
    </row>
    <row r="74">
      <c r="A74" s="7" t="str">
        <f>IFERROR(__xludf.DUMMYFUNCTION("""COMPUTED_VALUE"""),"Rivastigmine")</f>
        <v>Rivastigmine</v>
      </c>
      <c r="B74" s="8">
        <f>IFERROR(__xludf.DUMMYFUNCTION("""COMPUTED_VALUE"""),2.0)</f>
        <v>2</v>
      </c>
      <c r="C74" s="8">
        <f>IFERROR(__xludf.DUMMYFUNCTION("""COMPUTED_VALUE"""),3.0)</f>
        <v>3</v>
      </c>
      <c r="D74" s="7" t="b">
        <f>IFERROR(__xludf.DUMMYFUNCTION("""COMPUTED_VALUE"""),TRUE)</f>
        <v>1</v>
      </c>
      <c r="E74" s="7" t="b">
        <f>IFERROR(__xludf.DUMMYFUNCTION("""COMPUTED_VALUE"""),TRUE)</f>
        <v>1</v>
      </c>
      <c r="G74" s="7" t="str">
        <f>IFERROR(__xludf.DUMMYFUNCTION("""COMPUTED_VALUE"""),"Disopyramide")</f>
        <v>Disopyramide</v>
      </c>
      <c r="H74" s="8">
        <f>IFERROR(__xludf.DUMMYFUNCTION("""COMPUTED_VALUE"""),1.0)</f>
        <v>1</v>
      </c>
      <c r="I74" s="8">
        <f>IFERROR(__xludf.DUMMYFUNCTION("""COMPUTED_VALUE"""),3.0)</f>
        <v>3</v>
      </c>
      <c r="J74" s="7" t="b">
        <f>IFERROR(__xludf.DUMMYFUNCTION("""COMPUTED_VALUE"""),FALSE)</f>
        <v>0</v>
      </c>
      <c r="K74" s="7" t="b">
        <f>IFERROR(__xludf.DUMMYFUNCTION("""COMPUTED_VALUE"""),FALSE)</f>
        <v>0</v>
      </c>
      <c r="M74" s="7" t="str">
        <f>IFERROR(__xludf.DUMMYFUNCTION("""COMPUTED_VALUE"""),"Pentobarbital")</f>
        <v>Pentobarbital</v>
      </c>
      <c r="N74" s="8">
        <f>IFERROR(__xludf.DUMMYFUNCTION("""COMPUTED_VALUE"""),0.0)</f>
        <v>0</v>
      </c>
      <c r="O74" s="8">
        <f>IFERROR(__xludf.DUMMYFUNCTION("""COMPUTED_VALUE"""),3.0)</f>
        <v>3</v>
      </c>
      <c r="P74" s="7" t="b">
        <f>IFERROR(__xludf.DUMMYFUNCTION("""COMPUTED_VALUE"""),FALSE)</f>
        <v>0</v>
      </c>
      <c r="Q74" s="7" t="b">
        <f>IFERROR(__xludf.DUMMYFUNCTION("""COMPUTED_VALUE"""),FALSE)</f>
        <v>0</v>
      </c>
      <c r="S74" s="7" t="s">
        <v>83</v>
      </c>
      <c r="T74" s="8">
        <f t="array" ref="T74">XLOOKUP(S74, MAPK8IP3, B3:B1000, XLOOKUP(S74, ZC4H2, H3:H1000, XLOOKUP(S74, SLC6A1, N3:N1000)))</f>
        <v>4</v>
      </c>
      <c r="U74" s="8">
        <f t="array" ref="U74">XLOOKUP(S74, MAPK8IP3, C3:C1000, XLOOKUP(S74, ZC4H2, I3:I1000, XLOOKUP(S74, SLC6A1, O3:O1000)))</f>
        <v>3</v>
      </c>
      <c r="V74" s="7" t="b">
        <f t="array" ref="V74">XLOOKUP(S74, MAPK8IP3, D3:D1000, XLOOKUP(S74, ZC4H2, J3:J1000, XLOOKUP(S74, SLC6A1, P3:P1000)))</f>
        <v>0</v>
      </c>
    </row>
    <row r="75">
      <c r="A75" s="7" t="str">
        <f>IFERROR(__xludf.DUMMYFUNCTION("""COMPUTED_VALUE"""),"Sirolimus")</f>
        <v>Sirolimus</v>
      </c>
      <c r="B75" s="8">
        <f>IFERROR(__xludf.DUMMYFUNCTION("""COMPUTED_VALUE"""),2.0)</f>
        <v>2</v>
      </c>
      <c r="C75" s="8">
        <f>IFERROR(__xludf.DUMMYFUNCTION("""COMPUTED_VALUE"""),3.0)</f>
        <v>3</v>
      </c>
      <c r="D75" s="7" t="b">
        <f>IFERROR(__xludf.DUMMYFUNCTION("""COMPUTED_VALUE"""),TRUE)</f>
        <v>1</v>
      </c>
      <c r="E75" s="7" t="b">
        <f>IFERROR(__xludf.DUMMYFUNCTION("""COMPUTED_VALUE"""),TRUE)</f>
        <v>1</v>
      </c>
      <c r="G75" s="7" t="str">
        <f>IFERROR(__xludf.DUMMYFUNCTION("""COMPUTED_VALUE"""),"Ethambutol")</f>
        <v>Ethambutol</v>
      </c>
      <c r="H75" s="8">
        <f>IFERROR(__xludf.DUMMYFUNCTION("""COMPUTED_VALUE"""),1.0)</f>
        <v>1</v>
      </c>
      <c r="I75" s="8">
        <f>IFERROR(__xludf.DUMMYFUNCTION("""COMPUTED_VALUE"""),3.0)</f>
        <v>3</v>
      </c>
      <c r="J75" s="7" t="b">
        <f>IFERROR(__xludf.DUMMYFUNCTION("""COMPUTED_VALUE"""),FALSE)</f>
        <v>0</v>
      </c>
      <c r="K75" s="7" t="b">
        <f>IFERROR(__xludf.DUMMYFUNCTION("""COMPUTED_VALUE"""),FALSE)</f>
        <v>0</v>
      </c>
      <c r="M75" s="7" t="str">
        <f>IFERROR(__xludf.DUMMYFUNCTION("""COMPUTED_VALUE"""),"Perphenazine")</f>
        <v>Perphenazine</v>
      </c>
      <c r="N75" s="8">
        <f>IFERROR(__xludf.DUMMYFUNCTION("""COMPUTED_VALUE"""),0.0)</f>
        <v>0</v>
      </c>
      <c r="O75" s="8">
        <f>IFERROR(__xludf.DUMMYFUNCTION("""COMPUTED_VALUE"""),3.0)</f>
        <v>3</v>
      </c>
      <c r="P75" s="7" t="b">
        <f>IFERROR(__xludf.DUMMYFUNCTION("""COMPUTED_VALUE"""),FALSE)</f>
        <v>0</v>
      </c>
      <c r="Q75" s="7" t="b">
        <f>IFERROR(__xludf.DUMMYFUNCTION("""COMPUTED_VALUE"""),FALSE)</f>
        <v>0</v>
      </c>
      <c r="S75" s="7" t="s">
        <v>84</v>
      </c>
      <c r="T75" s="8">
        <f t="array" ref="T75">XLOOKUP(S75, MAPK8IP3, B3:B1000, XLOOKUP(S75, ZC4H2, H3:H1000, XLOOKUP(S75, SLC6A1, N3:N1000)))</f>
        <v>5</v>
      </c>
      <c r="U75" s="8">
        <f t="array" ref="U75">XLOOKUP(S75, MAPK8IP3, C3:C1000, XLOOKUP(S75, ZC4H2, I3:I1000, XLOOKUP(S75, SLC6A1, O3:O1000)))</f>
        <v>3</v>
      </c>
      <c r="V75" s="7" t="b">
        <f t="array" ref="V75">XLOOKUP(S75, MAPK8IP3, D3:D1000, XLOOKUP(S75, ZC4H2, J3:J1000, XLOOKUP(S75, SLC6A1, P3:P1000)))</f>
        <v>1</v>
      </c>
    </row>
    <row r="76">
      <c r="A76" s="7" t="str">
        <f>IFERROR(__xludf.DUMMYFUNCTION("""COMPUTED_VALUE"""),"Terbinafine")</f>
        <v>Terbinafine</v>
      </c>
      <c r="B76" s="8">
        <f>IFERROR(__xludf.DUMMYFUNCTION("""COMPUTED_VALUE"""),2.0)</f>
        <v>2</v>
      </c>
      <c r="C76" s="8">
        <f>IFERROR(__xludf.DUMMYFUNCTION("""COMPUTED_VALUE"""),3.0)</f>
        <v>3</v>
      </c>
      <c r="D76" s="7" t="b">
        <f>IFERROR(__xludf.DUMMYFUNCTION("""COMPUTED_VALUE"""),FALSE)</f>
        <v>0</v>
      </c>
      <c r="E76" s="7" t="b">
        <f>IFERROR(__xludf.DUMMYFUNCTION("""COMPUTED_VALUE"""),FALSE)</f>
        <v>0</v>
      </c>
      <c r="G76" s="7" t="str">
        <f>IFERROR(__xludf.DUMMYFUNCTION("""COMPUTED_VALUE"""),"Guanabenz")</f>
        <v>Guanabenz</v>
      </c>
      <c r="H76" s="8">
        <f>IFERROR(__xludf.DUMMYFUNCTION("""COMPUTED_VALUE"""),1.0)</f>
        <v>1</v>
      </c>
      <c r="I76" s="8">
        <f>IFERROR(__xludf.DUMMYFUNCTION("""COMPUTED_VALUE"""),3.0)</f>
        <v>3</v>
      </c>
      <c r="J76" s="7" t="b">
        <f>IFERROR(__xludf.DUMMYFUNCTION("""COMPUTED_VALUE"""),FALSE)</f>
        <v>0</v>
      </c>
      <c r="K76" s="7" t="b">
        <f>IFERROR(__xludf.DUMMYFUNCTION("""COMPUTED_VALUE"""),FALSE)</f>
        <v>0</v>
      </c>
      <c r="M76" s="7" t="str">
        <f>IFERROR(__xludf.DUMMYFUNCTION("""COMPUTED_VALUE"""),"Phentolamine")</f>
        <v>Phentolamine</v>
      </c>
      <c r="N76" s="8">
        <f>IFERROR(__xludf.DUMMYFUNCTION("""COMPUTED_VALUE"""),0.0)</f>
        <v>0</v>
      </c>
      <c r="O76" s="8">
        <f>IFERROR(__xludf.DUMMYFUNCTION("""COMPUTED_VALUE"""),3.0)</f>
        <v>3</v>
      </c>
      <c r="P76" s="7" t="b">
        <f>IFERROR(__xludf.DUMMYFUNCTION("""COMPUTED_VALUE"""),FALSE)</f>
        <v>0</v>
      </c>
      <c r="Q76" s="7" t="b">
        <f>IFERROR(__xludf.DUMMYFUNCTION("""COMPUTED_VALUE"""),FALSE)</f>
        <v>0</v>
      </c>
      <c r="S76" s="7" t="s">
        <v>85</v>
      </c>
      <c r="T76" s="8">
        <f t="array" ref="T76">XLOOKUP(S76, MAPK8IP3, B3:B1000, XLOOKUP(S76, ZC4H2, H3:H1000, XLOOKUP(S76, SLC6A1, N3:N1000)))</f>
        <v>5</v>
      </c>
      <c r="U76" s="8">
        <f t="array" ref="U76">XLOOKUP(S76, MAPK8IP3, C3:C1000, XLOOKUP(S76, ZC4H2, I3:I1000, XLOOKUP(S76, SLC6A1, O3:O1000)))</f>
        <v>3</v>
      </c>
      <c r="V76" s="7" t="b">
        <f t="array" ref="V76">XLOOKUP(S76, MAPK8IP3, D3:D1000, XLOOKUP(S76, ZC4H2, J3:J1000, XLOOKUP(S76, SLC6A1, P3:P1000)))</f>
        <v>0</v>
      </c>
    </row>
    <row r="77">
      <c r="A77" s="7" t="str">
        <f>IFERROR(__xludf.DUMMYFUNCTION("""COMPUTED_VALUE"""),"Tranexamic acid")</f>
        <v>Tranexamic acid</v>
      </c>
      <c r="B77" s="8">
        <f>IFERROR(__xludf.DUMMYFUNCTION("""COMPUTED_VALUE"""),2.0)</f>
        <v>2</v>
      </c>
      <c r="C77" s="8">
        <f>IFERROR(__xludf.DUMMYFUNCTION("""COMPUTED_VALUE"""),3.0)</f>
        <v>3</v>
      </c>
      <c r="D77" s="7" t="b">
        <f>IFERROR(__xludf.DUMMYFUNCTION("""COMPUTED_VALUE"""),FALSE)</f>
        <v>0</v>
      </c>
      <c r="E77" s="7" t="b">
        <f>IFERROR(__xludf.DUMMYFUNCTION("""COMPUTED_VALUE"""),FALSE)</f>
        <v>0</v>
      </c>
      <c r="G77" s="7" t="str">
        <f>IFERROR(__xludf.DUMMYFUNCTION("""COMPUTED_VALUE"""),"Levamisole")</f>
        <v>Levamisole</v>
      </c>
      <c r="H77" s="8">
        <f>IFERROR(__xludf.DUMMYFUNCTION("""COMPUTED_VALUE"""),1.0)</f>
        <v>1</v>
      </c>
      <c r="I77" s="8">
        <f>IFERROR(__xludf.DUMMYFUNCTION("""COMPUTED_VALUE"""),3.0)</f>
        <v>3</v>
      </c>
      <c r="J77" s="7" t="b">
        <f>IFERROR(__xludf.DUMMYFUNCTION("""COMPUTED_VALUE"""),FALSE)</f>
        <v>0</v>
      </c>
      <c r="K77" s="7" t="b">
        <f>IFERROR(__xludf.DUMMYFUNCTION("""COMPUTED_VALUE"""),FALSE)</f>
        <v>0</v>
      </c>
      <c r="M77" s="7" t="str">
        <f>IFERROR(__xludf.DUMMYFUNCTION("""COMPUTED_VALUE"""),"Pilocarpine")</f>
        <v>Pilocarpine</v>
      </c>
      <c r="N77" s="8">
        <f>IFERROR(__xludf.DUMMYFUNCTION("""COMPUTED_VALUE"""),0.0)</f>
        <v>0</v>
      </c>
      <c r="O77" s="8">
        <f>IFERROR(__xludf.DUMMYFUNCTION("""COMPUTED_VALUE"""),3.0)</f>
        <v>3</v>
      </c>
      <c r="P77" s="7" t="b">
        <f>IFERROR(__xludf.DUMMYFUNCTION("""COMPUTED_VALUE"""),FALSE)</f>
        <v>0</v>
      </c>
      <c r="Q77" s="7" t="b">
        <f>IFERROR(__xludf.DUMMYFUNCTION("""COMPUTED_VALUE"""),FALSE)</f>
        <v>0</v>
      </c>
      <c r="S77" s="7" t="s">
        <v>86</v>
      </c>
      <c r="T77" s="8">
        <f t="array" ref="T77">XLOOKUP(S77, MAPK8IP3, B3:B1000, XLOOKUP(S77, ZC4H2, H3:H1000, XLOOKUP(S77, SLC6A1, N3:N1000)))</f>
        <v>3</v>
      </c>
      <c r="U77" s="8">
        <f t="array" ref="U77">XLOOKUP(S77, MAPK8IP3, C3:C1000, XLOOKUP(S77, ZC4H2, I3:I1000, XLOOKUP(S77, SLC6A1, O3:O1000)))</f>
        <v>3</v>
      </c>
      <c r="V77" s="7" t="b">
        <f t="array" ref="V77">XLOOKUP(S77, MAPK8IP3, D3:D1000, XLOOKUP(S77, ZC4H2, J3:J1000, XLOOKUP(S77, SLC6A1, P3:P1000)))</f>
        <v>0</v>
      </c>
    </row>
    <row r="78">
      <c r="A78" s="7" t="str">
        <f>IFERROR(__xludf.DUMMYFUNCTION("""COMPUTED_VALUE"""),"Trihexyphenidyl")</f>
        <v>Trihexyphenidyl</v>
      </c>
      <c r="B78" s="8">
        <f>IFERROR(__xludf.DUMMYFUNCTION("""COMPUTED_VALUE"""),2.0)</f>
        <v>2</v>
      </c>
      <c r="C78" s="8">
        <f>IFERROR(__xludf.DUMMYFUNCTION("""COMPUTED_VALUE"""),3.0)</f>
        <v>3</v>
      </c>
      <c r="D78" s="7" t="b">
        <f>IFERROR(__xludf.DUMMYFUNCTION("""COMPUTED_VALUE"""),FALSE)</f>
        <v>0</v>
      </c>
      <c r="E78" s="7" t="b">
        <f>IFERROR(__xludf.DUMMYFUNCTION("""COMPUTED_VALUE"""),FALSE)</f>
        <v>0</v>
      </c>
      <c r="G78" s="7" t="str">
        <f>IFERROR(__xludf.DUMMYFUNCTION("""COMPUTED_VALUE"""),"Oxybutynin")</f>
        <v>Oxybutynin</v>
      </c>
      <c r="H78" s="8">
        <f>IFERROR(__xludf.DUMMYFUNCTION("""COMPUTED_VALUE"""),1.0)</f>
        <v>1</v>
      </c>
      <c r="I78" s="8">
        <f>IFERROR(__xludf.DUMMYFUNCTION("""COMPUTED_VALUE"""),3.0)</f>
        <v>3</v>
      </c>
      <c r="J78" s="7" t="b">
        <f>IFERROR(__xludf.DUMMYFUNCTION("""COMPUTED_VALUE"""),FALSE)</f>
        <v>0</v>
      </c>
      <c r="K78" s="7" t="b">
        <f>IFERROR(__xludf.DUMMYFUNCTION("""COMPUTED_VALUE"""),FALSE)</f>
        <v>0</v>
      </c>
      <c r="M78" s="7" t="str">
        <f>IFERROR(__xludf.DUMMYFUNCTION("""COMPUTED_VALUE"""),"Praziquantel")</f>
        <v>Praziquantel</v>
      </c>
      <c r="N78" s="8">
        <f>IFERROR(__xludf.DUMMYFUNCTION("""COMPUTED_VALUE"""),1.0)</f>
        <v>1</v>
      </c>
      <c r="O78" s="8">
        <f>IFERROR(__xludf.DUMMYFUNCTION("""COMPUTED_VALUE"""),3.0)</f>
        <v>3</v>
      </c>
      <c r="P78" s="7" t="b">
        <f>IFERROR(__xludf.DUMMYFUNCTION("""COMPUTED_VALUE"""),FALSE)</f>
        <v>0</v>
      </c>
      <c r="Q78" s="7" t="b">
        <f>IFERROR(__xludf.DUMMYFUNCTION("""COMPUTED_VALUE"""),FALSE)</f>
        <v>0</v>
      </c>
      <c r="S78" s="7" t="s">
        <v>87</v>
      </c>
      <c r="T78" s="8">
        <f t="array" ref="T78">XLOOKUP(S78, MAPK8IP3, B3:B1000, XLOOKUP(S78, ZC4H2, H3:H1000, XLOOKUP(S78, SLC6A1, N3:N1000)))</f>
        <v>6</v>
      </c>
      <c r="U78" s="8">
        <f t="array" ref="U78">XLOOKUP(S78, MAPK8IP3, C3:C1000, XLOOKUP(S78, ZC4H2, I3:I1000, XLOOKUP(S78, SLC6A1, O3:O1000)))</f>
        <v>3</v>
      </c>
      <c r="V78" s="7" t="b">
        <f t="array" ref="V78">XLOOKUP(S78, MAPK8IP3, D3:D1000, XLOOKUP(S78, ZC4H2, J3:J1000, XLOOKUP(S78, SLC6A1, P3:P1000)))</f>
        <v>0</v>
      </c>
    </row>
    <row r="79">
      <c r="A79" s="7" t="str">
        <f>IFERROR(__xludf.DUMMYFUNCTION("""COMPUTED_VALUE"""),"Acamprosate")</f>
        <v>Acamprosate</v>
      </c>
      <c r="B79" s="8">
        <f>IFERROR(__xludf.DUMMYFUNCTION("""COMPUTED_VALUE"""),1.0)</f>
        <v>1</v>
      </c>
      <c r="C79" s="8">
        <f>IFERROR(__xludf.DUMMYFUNCTION("""COMPUTED_VALUE"""),3.0)</f>
        <v>3</v>
      </c>
      <c r="D79" s="7" t="b">
        <f>IFERROR(__xludf.DUMMYFUNCTION("""COMPUTED_VALUE"""),FALSE)</f>
        <v>0</v>
      </c>
      <c r="E79" s="7" t="b">
        <f>IFERROR(__xludf.DUMMYFUNCTION("""COMPUTED_VALUE"""),FALSE)</f>
        <v>0</v>
      </c>
      <c r="G79" s="7" t="str">
        <f>IFERROR(__xludf.DUMMYFUNCTION("""COMPUTED_VALUE"""),"Oxymetazoline")</f>
        <v>Oxymetazoline</v>
      </c>
      <c r="H79" s="8">
        <f>IFERROR(__xludf.DUMMYFUNCTION("""COMPUTED_VALUE"""),1.0)</f>
        <v>1</v>
      </c>
      <c r="I79" s="8">
        <f>IFERROR(__xludf.DUMMYFUNCTION("""COMPUTED_VALUE"""),3.0)</f>
        <v>3</v>
      </c>
      <c r="J79" s="7" t="b">
        <f>IFERROR(__xludf.DUMMYFUNCTION("""COMPUTED_VALUE"""),FALSE)</f>
        <v>0</v>
      </c>
      <c r="K79" s="7" t="b">
        <f>IFERROR(__xludf.DUMMYFUNCTION("""COMPUTED_VALUE"""),FALSE)</f>
        <v>0</v>
      </c>
      <c r="M79" s="7" t="str">
        <f>IFERROR(__xludf.DUMMYFUNCTION("""COMPUTED_VALUE"""),"Pregabalin")</f>
        <v>Pregabalin</v>
      </c>
      <c r="N79" s="8">
        <f>IFERROR(__xludf.DUMMYFUNCTION("""COMPUTED_VALUE"""),4.0)</f>
        <v>4</v>
      </c>
      <c r="O79" s="8">
        <f>IFERROR(__xludf.DUMMYFUNCTION("""COMPUTED_VALUE"""),3.0)</f>
        <v>3</v>
      </c>
      <c r="P79" s="7" t="b">
        <f>IFERROR(__xludf.DUMMYFUNCTION("""COMPUTED_VALUE"""),FALSE)</f>
        <v>0</v>
      </c>
      <c r="Q79" s="7" t="b">
        <f>IFERROR(__xludf.DUMMYFUNCTION("""COMPUTED_VALUE"""),FALSE)</f>
        <v>0</v>
      </c>
      <c r="S79" s="7" t="s">
        <v>88</v>
      </c>
      <c r="T79" s="8">
        <f t="array" ref="T79">XLOOKUP(S79, MAPK8IP3, B3:B1000, XLOOKUP(S79, ZC4H2, H3:H1000, XLOOKUP(S79, SLC6A1, N3:N1000)))</f>
        <v>6</v>
      </c>
      <c r="U79" s="8">
        <f t="array" ref="U79">XLOOKUP(S79, MAPK8IP3, C3:C1000, XLOOKUP(S79, ZC4H2, I3:I1000, XLOOKUP(S79, SLC6A1, O3:O1000)))</f>
        <v>3</v>
      </c>
      <c r="V79" s="7" t="b">
        <f t="array" ref="V79">XLOOKUP(S79, MAPK8IP3, D3:D1000, XLOOKUP(S79, ZC4H2, J3:J1000, XLOOKUP(S79, SLC6A1, P3:P1000)))</f>
        <v>1</v>
      </c>
    </row>
    <row r="80">
      <c r="A80" s="7" t="str">
        <f>IFERROR(__xludf.DUMMYFUNCTION("""COMPUTED_VALUE"""),"Apraclonidine")</f>
        <v>Apraclonidine</v>
      </c>
      <c r="B80" s="8">
        <f>IFERROR(__xludf.DUMMYFUNCTION("""COMPUTED_VALUE"""),1.0)</f>
        <v>1</v>
      </c>
      <c r="C80" s="8">
        <f>IFERROR(__xludf.DUMMYFUNCTION("""COMPUTED_VALUE"""),3.0)</f>
        <v>3</v>
      </c>
      <c r="D80" s="7" t="b">
        <f>IFERROR(__xludf.DUMMYFUNCTION("""COMPUTED_VALUE"""),FALSE)</f>
        <v>0</v>
      </c>
      <c r="E80" s="7" t="b">
        <f>IFERROR(__xludf.DUMMYFUNCTION("""COMPUTED_VALUE"""),FALSE)</f>
        <v>0</v>
      </c>
      <c r="G80" s="7" t="str">
        <f>IFERROR(__xludf.DUMMYFUNCTION("""COMPUTED_VALUE"""),"Paricalcitol")</f>
        <v>Paricalcitol</v>
      </c>
      <c r="H80" s="8">
        <f>IFERROR(__xludf.DUMMYFUNCTION("""COMPUTED_VALUE"""),1.0)</f>
        <v>1</v>
      </c>
      <c r="I80" s="8">
        <f>IFERROR(__xludf.DUMMYFUNCTION("""COMPUTED_VALUE"""),3.0)</f>
        <v>3</v>
      </c>
      <c r="J80" s="7" t="b">
        <f>IFERROR(__xludf.DUMMYFUNCTION("""COMPUTED_VALUE"""),FALSE)</f>
        <v>0</v>
      </c>
      <c r="K80" s="7" t="b">
        <f>IFERROR(__xludf.DUMMYFUNCTION("""COMPUTED_VALUE"""),FALSE)</f>
        <v>0</v>
      </c>
      <c r="M80" s="7" t="str">
        <f>IFERROR(__xludf.DUMMYFUNCTION("""COMPUTED_VALUE"""),"Prilocaine")</f>
        <v>Prilocaine</v>
      </c>
      <c r="N80" s="8">
        <f>IFERROR(__xludf.DUMMYFUNCTION("""COMPUTED_VALUE"""),0.0)</f>
        <v>0</v>
      </c>
      <c r="O80" s="8">
        <f>IFERROR(__xludf.DUMMYFUNCTION("""COMPUTED_VALUE"""),3.0)</f>
        <v>3</v>
      </c>
      <c r="P80" s="7" t="b">
        <f>IFERROR(__xludf.DUMMYFUNCTION("""COMPUTED_VALUE"""),FALSE)</f>
        <v>0</v>
      </c>
      <c r="Q80" s="7" t="b">
        <f>IFERROR(__xludf.DUMMYFUNCTION("""COMPUTED_VALUE"""),FALSE)</f>
        <v>0</v>
      </c>
      <c r="S80" s="7" t="s">
        <v>89</v>
      </c>
      <c r="T80" s="8">
        <f t="array" ref="T80">XLOOKUP(S80, MAPK8IP3, B3:B1000, XLOOKUP(S80, ZC4H2, H3:H1000, XLOOKUP(S80, SLC6A1, N3:N1000)))</f>
        <v>0</v>
      </c>
      <c r="U80" s="8">
        <f t="array" ref="U80">XLOOKUP(S80, MAPK8IP3, C3:C1000, XLOOKUP(S80, ZC4H2, I3:I1000, XLOOKUP(S80, SLC6A1, O3:O1000)))</f>
        <v>1</v>
      </c>
      <c r="V80" s="7" t="b">
        <f t="array" ref="V80">XLOOKUP(S80, MAPK8IP3, D3:D1000, XLOOKUP(S80, ZC4H2, J3:J1000, XLOOKUP(S80, SLC6A1, P3:P1000)))</f>
        <v>1</v>
      </c>
    </row>
    <row r="81">
      <c r="A81" s="7" t="str">
        <f>IFERROR(__xludf.DUMMYFUNCTION("""COMPUTED_VALUE"""),"Arsenic trioxide")</f>
        <v>Arsenic trioxide</v>
      </c>
      <c r="B81" s="8">
        <f>IFERROR(__xludf.DUMMYFUNCTION("""COMPUTED_VALUE"""),1.0)</f>
        <v>1</v>
      </c>
      <c r="C81" s="8">
        <f>IFERROR(__xludf.DUMMYFUNCTION("""COMPUTED_VALUE"""),3.0)</f>
        <v>3</v>
      </c>
      <c r="D81" s="7" t="b">
        <f>IFERROR(__xludf.DUMMYFUNCTION("""COMPUTED_VALUE"""),FALSE)</f>
        <v>0</v>
      </c>
      <c r="E81" s="7" t="b">
        <f>IFERROR(__xludf.DUMMYFUNCTION("""COMPUTED_VALUE"""),FALSE)</f>
        <v>0</v>
      </c>
      <c r="G81" s="7" t="str">
        <f>IFERROR(__xludf.DUMMYFUNCTION("""COMPUTED_VALUE"""),"Praziquantel")</f>
        <v>Praziquantel</v>
      </c>
      <c r="H81" s="8">
        <f>IFERROR(__xludf.DUMMYFUNCTION("""COMPUTED_VALUE"""),1.0)</f>
        <v>1</v>
      </c>
      <c r="I81" s="8">
        <f>IFERROR(__xludf.DUMMYFUNCTION("""COMPUTED_VALUE"""),3.0)</f>
        <v>3</v>
      </c>
      <c r="J81" s="7" t="b">
        <f>IFERROR(__xludf.DUMMYFUNCTION("""COMPUTED_VALUE"""),FALSE)</f>
        <v>0</v>
      </c>
      <c r="K81" s="7" t="b">
        <f>IFERROR(__xludf.DUMMYFUNCTION("""COMPUTED_VALUE"""),FALSE)</f>
        <v>0</v>
      </c>
      <c r="M81" s="7" t="str">
        <f>IFERROR(__xludf.DUMMYFUNCTION("""COMPUTED_VALUE"""),"Primidone")</f>
        <v>Primidone</v>
      </c>
      <c r="N81" s="8">
        <f>IFERROR(__xludf.DUMMYFUNCTION("""COMPUTED_VALUE"""),2.0)</f>
        <v>2</v>
      </c>
      <c r="O81" s="8">
        <f>IFERROR(__xludf.DUMMYFUNCTION("""COMPUTED_VALUE"""),3.0)</f>
        <v>3</v>
      </c>
      <c r="P81" s="7" t="b">
        <f>IFERROR(__xludf.DUMMYFUNCTION("""COMPUTED_VALUE"""),FALSE)</f>
        <v>0</v>
      </c>
      <c r="Q81" s="7" t="b">
        <f>IFERROR(__xludf.DUMMYFUNCTION("""COMPUTED_VALUE"""),FALSE)</f>
        <v>0</v>
      </c>
      <c r="S81" s="7" t="s">
        <v>90</v>
      </c>
      <c r="T81" s="8">
        <f t="array" ref="T81">XLOOKUP(S81, MAPK8IP3, B3:B1000, XLOOKUP(S81, ZC4H2, H3:H1000, XLOOKUP(S81, SLC6A1, N3:N1000)))</f>
        <v>4</v>
      </c>
      <c r="U81" s="8">
        <f t="array" ref="U81">XLOOKUP(S81, MAPK8IP3, C3:C1000, XLOOKUP(S81, ZC4H2, I3:I1000, XLOOKUP(S81, SLC6A1, O3:O1000)))</f>
        <v>3</v>
      </c>
      <c r="V81" s="7" t="b">
        <f t="array" ref="V81">XLOOKUP(S81, MAPK8IP3, D3:D1000, XLOOKUP(S81, ZC4H2, J3:J1000, XLOOKUP(S81, SLC6A1, P3:P1000)))</f>
        <v>0</v>
      </c>
    </row>
    <row r="82">
      <c r="A82" s="7" t="str">
        <f>IFERROR(__xludf.DUMMYFUNCTION("""COMPUTED_VALUE"""),"Butorphanol")</f>
        <v>Butorphanol</v>
      </c>
      <c r="B82" s="8">
        <f>IFERROR(__xludf.DUMMYFUNCTION("""COMPUTED_VALUE"""),1.0)</f>
        <v>1</v>
      </c>
      <c r="C82" s="8">
        <f>IFERROR(__xludf.DUMMYFUNCTION("""COMPUTED_VALUE"""),3.0)</f>
        <v>3</v>
      </c>
      <c r="D82" s="7" t="b">
        <f>IFERROR(__xludf.DUMMYFUNCTION("""COMPUTED_VALUE"""),FALSE)</f>
        <v>0</v>
      </c>
      <c r="E82" s="7" t="b">
        <f>IFERROR(__xludf.DUMMYFUNCTION("""COMPUTED_VALUE"""),FALSE)</f>
        <v>0</v>
      </c>
      <c r="G82" s="7" t="str">
        <f>IFERROR(__xludf.DUMMYFUNCTION("""COMPUTED_VALUE"""),"Timolol")</f>
        <v>Timolol</v>
      </c>
      <c r="H82" s="8">
        <f>IFERROR(__xludf.DUMMYFUNCTION("""COMPUTED_VALUE"""),1.0)</f>
        <v>1</v>
      </c>
      <c r="I82" s="8">
        <f>IFERROR(__xludf.DUMMYFUNCTION("""COMPUTED_VALUE"""),3.0)</f>
        <v>3</v>
      </c>
      <c r="J82" s="7" t="b">
        <f>IFERROR(__xludf.DUMMYFUNCTION("""COMPUTED_VALUE"""),FALSE)</f>
        <v>0</v>
      </c>
      <c r="K82" s="7" t="b">
        <f>IFERROR(__xludf.DUMMYFUNCTION("""COMPUTED_VALUE"""),FALSE)</f>
        <v>0</v>
      </c>
      <c r="M82" s="7" t="str">
        <f>IFERROR(__xludf.DUMMYFUNCTION("""COMPUTED_VALUE"""),"Procaine")</f>
        <v>Procaine</v>
      </c>
      <c r="N82" s="8">
        <f>IFERROR(__xludf.DUMMYFUNCTION("""COMPUTED_VALUE"""),0.0)</f>
        <v>0</v>
      </c>
      <c r="O82" s="8">
        <f>IFERROR(__xludf.DUMMYFUNCTION("""COMPUTED_VALUE"""),3.0)</f>
        <v>3</v>
      </c>
      <c r="P82" s="7" t="b">
        <f>IFERROR(__xludf.DUMMYFUNCTION("""COMPUTED_VALUE"""),FALSE)</f>
        <v>0</v>
      </c>
      <c r="Q82" s="7" t="b">
        <f>IFERROR(__xludf.DUMMYFUNCTION("""COMPUTED_VALUE"""),FALSE)</f>
        <v>0</v>
      </c>
      <c r="S82" s="7" t="s">
        <v>91</v>
      </c>
      <c r="T82" s="7">
        <f t="array" ref="T82">XLOOKUP(S82, MAPK8IP3, B3:B1000, XLOOKUP(S82, ZC4H2, H3:H1000, XLOOKUP(S82, SLC6A1, N3:N1000)))</f>
        <v>0</v>
      </c>
      <c r="U82" s="7">
        <f t="array" ref="U82">XLOOKUP(S82, MAPK8IP3, C3:C1000, XLOOKUP(S82, ZC4H2, I3:I1000, XLOOKUP(S82, SLC6A1, O3:O1000)))</f>
        <v>3</v>
      </c>
      <c r="V82" s="7" t="b">
        <f t="array" ref="V82">XLOOKUP(S82, MAPK8IP3, D3:D1000, XLOOKUP(S82, ZC4H2, J3:J1000, XLOOKUP(S82, SLC6A1, P3:P1000)))</f>
        <v>0</v>
      </c>
    </row>
    <row r="83">
      <c r="A83" s="7" t="str">
        <f>IFERROR(__xludf.DUMMYFUNCTION("""COMPUTED_VALUE"""),"Cilostazol")</f>
        <v>Cilostazol</v>
      </c>
      <c r="B83" s="8">
        <f>IFERROR(__xludf.DUMMYFUNCTION("""COMPUTED_VALUE"""),1.0)</f>
        <v>1</v>
      </c>
      <c r="C83" s="8">
        <f>IFERROR(__xludf.DUMMYFUNCTION("""COMPUTED_VALUE"""),3.0)</f>
        <v>3</v>
      </c>
      <c r="D83" s="7" t="b">
        <f>IFERROR(__xludf.DUMMYFUNCTION("""COMPUTED_VALUE"""),FALSE)</f>
        <v>0</v>
      </c>
      <c r="E83" s="7" t="b">
        <f>IFERROR(__xludf.DUMMYFUNCTION("""COMPUTED_VALUE"""),FALSE)</f>
        <v>0</v>
      </c>
      <c r="G83" s="7" t="str">
        <f>IFERROR(__xludf.DUMMYFUNCTION("""COMPUTED_VALUE"""),"Tramadol")</f>
        <v>Tramadol</v>
      </c>
      <c r="H83" s="8">
        <f>IFERROR(__xludf.DUMMYFUNCTION("""COMPUTED_VALUE"""),1.0)</f>
        <v>1</v>
      </c>
      <c r="I83" s="8">
        <f>IFERROR(__xludf.DUMMYFUNCTION("""COMPUTED_VALUE"""),3.0)</f>
        <v>3</v>
      </c>
      <c r="J83" s="7" t="b">
        <f>IFERROR(__xludf.DUMMYFUNCTION("""COMPUTED_VALUE"""),FALSE)</f>
        <v>0</v>
      </c>
      <c r="K83" s="7" t="b">
        <f>IFERROR(__xludf.DUMMYFUNCTION("""COMPUTED_VALUE"""),FALSE)</f>
        <v>0</v>
      </c>
      <c r="M83" s="7" t="str">
        <f>IFERROR(__xludf.DUMMYFUNCTION("""COMPUTED_VALUE"""),"Progesterone")</f>
        <v>Progesterone</v>
      </c>
      <c r="N83" s="8">
        <f>IFERROR(__xludf.DUMMYFUNCTION("""COMPUTED_VALUE"""),2.0)</f>
        <v>2</v>
      </c>
      <c r="O83" s="8">
        <f>IFERROR(__xludf.DUMMYFUNCTION("""COMPUTED_VALUE"""),3.0)</f>
        <v>3</v>
      </c>
      <c r="P83" s="7" t="b">
        <f>IFERROR(__xludf.DUMMYFUNCTION("""COMPUTED_VALUE"""),FALSE)</f>
        <v>0</v>
      </c>
      <c r="Q83" s="7" t="b">
        <f>IFERROR(__xludf.DUMMYFUNCTION("""COMPUTED_VALUE"""),FALSE)</f>
        <v>0</v>
      </c>
      <c r="S83" s="7" t="s">
        <v>92</v>
      </c>
      <c r="T83" s="8">
        <f t="array" ref="T83">XLOOKUP(S83, MAPK8IP3, B3:B1000, XLOOKUP(S83, ZC4H2, H3:H1000, XLOOKUP(S83, SLC6A1, N3:N1000)))</f>
        <v>0</v>
      </c>
      <c r="U83" s="8">
        <f t="array" ref="U83">XLOOKUP(S83, MAPK8IP3, C3:C1000, XLOOKUP(S83, ZC4H2, I3:I1000, XLOOKUP(S83, SLC6A1, O3:O1000)))</f>
        <v>3</v>
      </c>
      <c r="V83" s="7" t="b">
        <f t="array" ref="V83">XLOOKUP(S83, MAPK8IP3, D3:D1000, XLOOKUP(S83, ZC4H2, J3:J1000, XLOOKUP(S83, SLC6A1, P3:P1000)))</f>
        <v>0</v>
      </c>
    </row>
    <row r="84">
      <c r="A84" s="7" t="str">
        <f>IFERROR(__xludf.DUMMYFUNCTION("""COMPUTED_VALUE"""),"Ethambutol")</f>
        <v>Ethambutol</v>
      </c>
      <c r="B84" s="8">
        <f>IFERROR(__xludf.DUMMYFUNCTION("""COMPUTED_VALUE"""),1.0)</f>
        <v>1</v>
      </c>
      <c r="C84" s="8">
        <f>IFERROR(__xludf.DUMMYFUNCTION("""COMPUTED_VALUE"""),3.0)</f>
        <v>3</v>
      </c>
      <c r="D84" s="7" t="b">
        <f>IFERROR(__xludf.DUMMYFUNCTION("""COMPUTED_VALUE"""),FALSE)</f>
        <v>0</v>
      </c>
      <c r="E84" s="7" t="b">
        <f>IFERROR(__xludf.DUMMYFUNCTION("""COMPUTED_VALUE"""),FALSE)</f>
        <v>0</v>
      </c>
      <c r="G84" s="7" t="str">
        <f>IFERROR(__xludf.DUMMYFUNCTION("""COMPUTED_VALUE"""),"Tropicamide")</f>
        <v>Tropicamide</v>
      </c>
      <c r="H84" s="8">
        <f>IFERROR(__xludf.DUMMYFUNCTION("""COMPUTED_VALUE"""),1.0)</f>
        <v>1</v>
      </c>
      <c r="I84" s="8">
        <f>IFERROR(__xludf.DUMMYFUNCTION("""COMPUTED_VALUE"""),3.0)</f>
        <v>3</v>
      </c>
      <c r="J84" s="7" t="b">
        <f>IFERROR(__xludf.DUMMYFUNCTION("""COMPUTED_VALUE"""),FALSE)</f>
        <v>0</v>
      </c>
      <c r="K84" s="7" t="b">
        <f>IFERROR(__xludf.DUMMYFUNCTION("""COMPUTED_VALUE"""),FALSE)</f>
        <v>0</v>
      </c>
      <c r="M84" s="7" t="str">
        <f>IFERROR(__xludf.DUMMYFUNCTION("""COMPUTED_VALUE"""),"Propofol")</f>
        <v>Propofol</v>
      </c>
      <c r="N84" s="8">
        <f>IFERROR(__xludf.DUMMYFUNCTION("""COMPUTED_VALUE"""),0.0)</f>
        <v>0</v>
      </c>
      <c r="O84" s="8">
        <f>IFERROR(__xludf.DUMMYFUNCTION("""COMPUTED_VALUE"""),3.0)</f>
        <v>3</v>
      </c>
      <c r="P84" s="7" t="b">
        <f>IFERROR(__xludf.DUMMYFUNCTION("""COMPUTED_VALUE"""),FALSE)</f>
        <v>0</v>
      </c>
      <c r="Q84" s="7" t="b">
        <f>IFERROR(__xludf.DUMMYFUNCTION("""COMPUTED_VALUE"""),FALSE)</f>
        <v>0</v>
      </c>
      <c r="S84" s="7" t="s">
        <v>93</v>
      </c>
      <c r="T84" s="8">
        <f t="array" ref="T84">XLOOKUP(S84, MAPK8IP3, B3:B1000, XLOOKUP(S84, ZC4H2, H3:H1000, XLOOKUP(S84, SLC6A1, N3:N1000)))</f>
        <v>6</v>
      </c>
      <c r="U84" s="8">
        <f t="array" ref="U84">XLOOKUP(S84, MAPK8IP3, C3:C1000, XLOOKUP(S84, ZC4H2, I3:I1000, XLOOKUP(S84, SLC6A1, O3:O1000)))</f>
        <v>3</v>
      </c>
      <c r="V84" s="7" t="b">
        <f t="array" ref="V84">XLOOKUP(S84, MAPK8IP3, D3:D1000, XLOOKUP(S84, ZC4H2, J3:J1000, XLOOKUP(S84, SLC6A1, P3:P1000)))</f>
        <v>1</v>
      </c>
    </row>
    <row r="85">
      <c r="A85" s="7" t="str">
        <f>IFERROR(__xludf.DUMMYFUNCTION("""COMPUTED_VALUE"""),"Everolimus")</f>
        <v>Everolimus</v>
      </c>
      <c r="B85" s="8">
        <f>IFERROR(__xludf.DUMMYFUNCTION("""COMPUTED_VALUE"""),1.0)</f>
        <v>1</v>
      </c>
      <c r="C85" s="8">
        <f>IFERROR(__xludf.DUMMYFUNCTION("""COMPUTED_VALUE"""),3.0)</f>
        <v>3</v>
      </c>
      <c r="D85" s="7" t="b">
        <f>IFERROR(__xludf.DUMMYFUNCTION("""COMPUTED_VALUE"""),TRUE)</f>
        <v>1</v>
      </c>
      <c r="E85" s="7" t="b">
        <f>IFERROR(__xludf.DUMMYFUNCTION("""COMPUTED_VALUE"""),TRUE)</f>
        <v>1</v>
      </c>
      <c r="G85" s="7" t="str">
        <f>IFERROR(__xludf.DUMMYFUNCTION("""COMPUTED_VALUE"""),"Alfentanil")</f>
        <v>Alfentanil</v>
      </c>
      <c r="H85" s="8">
        <f>IFERROR(__xludf.DUMMYFUNCTION("""COMPUTED_VALUE"""),0.0)</f>
        <v>0</v>
      </c>
      <c r="I85" s="8">
        <f>IFERROR(__xludf.DUMMYFUNCTION("""COMPUTED_VALUE"""),3.0)</f>
        <v>3</v>
      </c>
      <c r="J85" s="7" t="b">
        <f>IFERROR(__xludf.DUMMYFUNCTION("""COMPUTED_VALUE"""),FALSE)</f>
        <v>0</v>
      </c>
      <c r="K85" s="7" t="b">
        <f>IFERROR(__xludf.DUMMYFUNCTION("""COMPUTED_VALUE"""),FALSE)</f>
        <v>0</v>
      </c>
      <c r="M85" s="7" t="str">
        <f>IFERROR(__xludf.DUMMYFUNCTION("""COMPUTED_VALUE"""),"Propranolol")</f>
        <v>Propranolol</v>
      </c>
      <c r="N85" s="8">
        <f>IFERROR(__xludf.DUMMYFUNCTION("""COMPUTED_VALUE"""),6.0)</f>
        <v>6</v>
      </c>
      <c r="O85" s="8">
        <f>IFERROR(__xludf.DUMMYFUNCTION("""COMPUTED_VALUE"""),3.0)</f>
        <v>3</v>
      </c>
      <c r="P85" s="7" t="b">
        <f>IFERROR(__xludf.DUMMYFUNCTION("""COMPUTED_VALUE"""),FALSE)</f>
        <v>0</v>
      </c>
      <c r="Q85" s="7" t="b">
        <f>IFERROR(__xludf.DUMMYFUNCTION("""COMPUTED_VALUE"""),FALSE)</f>
        <v>0</v>
      </c>
      <c r="S85" s="7" t="s">
        <v>94</v>
      </c>
      <c r="T85" s="8">
        <f t="array" ref="T85">XLOOKUP(S85, MAPK8IP3, B3:B1000, XLOOKUP(S85, ZC4H2, H3:H1000, XLOOKUP(S85, SLC6A1, N3:N1000)))</f>
        <v>1</v>
      </c>
      <c r="U85" s="8">
        <f t="array" ref="U85">XLOOKUP(S85, MAPK8IP3, C3:C1000, XLOOKUP(S85, ZC4H2, I3:I1000, XLOOKUP(S85, SLC6A1, O3:O1000)))</f>
        <v>3</v>
      </c>
      <c r="V85" s="7" t="b">
        <f t="array" ref="V85">XLOOKUP(S85, MAPK8IP3, D3:D1000, XLOOKUP(S85, ZC4H2, J3:J1000, XLOOKUP(S85, SLC6A1, P3:P1000)))</f>
        <v>0</v>
      </c>
    </row>
    <row r="86">
      <c r="A86" s="7" t="str">
        <f>IFERROR(__xludf.DUMMYFUNCTION("""COMPUTED_VALUE"""),"Felbamate")</f>
        <v>Felbamate</v>
      </c>
      <c r="B86" s="8">
        <f>IFERROR(__xludf.DUMMYFUNCTION("""COMPUTED_VALUE"""),1.0)</f>
        <v>1</v>
      </c>
      <c r="C86" s="8">
        <f>IFERROR(__xludf.DUMMYFUNCTION("""COMPUTED_VALUE"""),3.0)</f>
        <v>3</v>
      </c>
      <c r="D86" s="7" t="b">
        <f>IFERROR(__xludf.DUMMYFUNCTION("""COMPUTED_VALUE"""),FALSE)</f>
        <v>0</v>
      </c>
      <c r="E86" s="7" t="b">
        <f>IFERROR(__xludf.DUMMYFUNCTION("""COMPUTED_VALUE"""),FALSE)</f>
        <v>0</v>
      </c>
      <c r="G86" s="7" t="str">
        <f>IFERROR(__xludf.DUMMYFUNCTION("""COMPUTED_VALUE"""),"Anidulafungin")</f>
        <v>Anidulafungin</v>
      </c>
      <c r="H86" s="8">
        <f>IFERROR(__xludf.DUMMYFUNCTION("""COMPUTED_VALUE"""),0.0)</f>
        <v>0</v>
      </c>
      <c r="I86" s="8">
        <f>IFERROR(__xludf.DUMMYFUNCTION("""COMPUTED_VALUE"""),3.0)</f>
        <v>3</v>
      </c>
      <c r="J86" s="7" t="b">
        <f>IFERROR(__xludf.DUMMYFUNCTION("""COMPUTED_VALUE"""),FALSE)</f>
        <v>0</v>
      </c>
      <c r="K86" s="7" t="b">
        <f>IFERROR(__xludf.DUMMYFUNCTION("""COMPUTED_VALUE"""),FALSE)</f>
        <v>0</v>
      </c>
      <c r="M86" s="7" t="str">
        <f>IFERROR(__xludf.DUMMYFUNCTION("""COMPUTED_VALUE"""),"Pseudoephedrine")</f>
        <v>Pseudoephedrine</v>
      </c>
      <c r="N86" s="8">
        <f>IFERROR(__xludf.DUMMYFUNCTION("""COMPUTED_VALUE"""),3.0)</f>
        <v>3</v>
      </c>
      <c r="O86" s="8">
        <f>IFERROR(__xludf.DUMMYFUNCTION("""COMPUTED_VALUE"""),3.0)</f>
        <v>3</v>
      </c>
      <c r="P86" s="7" t="b">
        <f>IFERROR(__xludf.DUMMYFUNCTION("""COMPUTED_VALUE"""),FALSE)</f>
        <v>0</v>
      </c>
      <c r="Q86" s="7" t="b">
        <f>IFERROR(__xludf.DUMMYFUNCTION("""COMPUTED_VALUE"""),FALSE)</f>
        <v>0</v>
      </c>
      <c r="S86" s="7" t="s">
        <v>95</v>
      </c>
      <c r="T86" s="8">
        <f t="array" ref="T86">XLOOKUP(S86, MAPK8IP3, B3:B1000, XLOOKUP(S86, ZC4H2, H3:H1000, XLOOKUP(S86, SLC6A1, N3:N1000)))</f>
        <v>4</v>
      </c>
      <c r="U86" s="8">
        <f t="array" ref="U86">XLOOKUP(S86, MAPK8IP3, C3:C1000, XLOOKUP(S86, ZC4H2, I3:I1000, XLOOKUP(S86, SLC6A1, O3:O1000)))</f>
        <v>3</v>
      </c>
      <c r="V86" s="7" t="b">
        <f t="array" ref="V86">XLOOKUP(S86, MAPK8IP3, D3:D1000, XLOOKUP(S86, ZC4H2, J3:J1000, XLOOKUP(S86, SLC6A1, P3:P1000)))</f>
        <v>0</v>
      </c>
    </row>
    <row r="87">
      <c r="A87" s="7" t="str">
        <f>IFERROR(__xludf.DUMMYFUNCTION("""COMPUTED_VALUE"""),"Fusidic acid")</f>
        <v>Fusidic acid</v>
      </c>
      <c r="B87" s="8">
        <f>IFERROR(__xludf.DUMMYFUNCTION("""COMPUTED_VALUE"""),1.0)</f>
        <v>1</v>
      </c>
      <c r="C87" s="8">
        <f>IFERROR(__xludf.DUMMYFUNCTION("""COMPUTED_VALUE"""),3.0)</f>
        <v>3</v>
      </c>
      <c r="D87" s="7" t="b">
        <f>IFERROR(__xludf.DUMMYFUNCTION("""COMPUTED_VALUE"""),FALSE)</f>
        <v>0</v>
      </c>
      <c r="E87" s="7" t="b">
        <f>IFERROR(__xludf.DUMMYFUNCTION("""COMPUTED_VALUE"""),FALSE)</f>
        <v>0</v>
      </c>
      <c r="G87" s="7" t="str">
        <f>IFERROR(__xludf.DUMMYFUNCTION("""COMPUTED_VALUE"""),"Desflurane")</f>
        <v>Desflurane</v>
      </c>
      <c r="H87" s="8">
        <f>IFERROR(__xludf.DUMMYFUNCTION("""COMPUTED_VALUE"""),0.0)</f>
        <v>0</v>
      </c>
      <c r="I87" s="8">
        <f>IFERROR(__xludf.DUMMYFUNCTION("""COMPUTED_VALUE"""),3.0)</f>
        <v>3</v>
      </c>
      <c r="J87" s="7" t="b">
        <f>IFERROR(__xludf.DUMMYFUNCTION("""COMPUTED_VALUE"""),FALSE)</f>
        <v>0</v>
      </c>
      <c r="K87" s="7" t="b">
        <f>IFERROR(__xludf.DUMMYFUNCTION("""COMPUTED_VALUE"""),FALSE)</f>
        <v>0</v>
      </c>
      <c r="M87" s="7" t="str">
        <f>IFERROR(__xludf.DUMMYFUNCTION("""COMPUTED_VALUE"""),"Pyridostigmine")</f>
        <v>Pyridostigmine</v>
      </c>
      <c r="N87" s="8">
        <f>IFERROR(__xludf.DUMMYFUNCTION("""COMPUTED_VALUE"""),2.0)</f>
        <v>2</v>
      </c>
      <c r="O87" s="8">
        <f>IFERROR(__xludf.DUMMYFUNCTION("""COMPUTED_VALUE"""),3.0)</f>
        <v>3</v>
      </c>
      <c r="P87" s="7" t="b">
        <f>IFERROR(__xludf.DUMMYFUNCTION("""COMPUTED_VALUE"""),FALSE)</f>
        <v>0</v>
      </c>
      <c r="Q87" s="7" t="b">
        <f>IFERROR(__xludf.DUMMYFUNCTION("""COMPUTED_VALUE"""),FALSE)</f>
        <v>0</v>
      </c>
      <c r="S87" s="7" t="s">
        <v>96</v>
      </c>
      <c r="T87" s="8">
        <f t="array" ref="T87">XLOOKUP(S87, MAPK8IP3, B3:B1000, XLOOKUP(S87, ZC4H2, H3:H1000, XLOOKUP(S87, SLC6A1, N3:N1000)))</f>
        <v>6</v>
      </c>
      <c r="U87" s="8">
        <f t="array" ref="U87">XLOOKUP(S87, MAPK8IP3, C3:C1000, XLOOKUP(S87, ZC4H2, I3:I1000, XLOOKUP(S87, SLC6A1, O3:O1000)))</f>
        <v>3</v>
      </c>
      <c r="V87" s="7" t="b">
        <f t="array" ref="V87">XLOOKUP(S87, MAPK8IP3, D3:D1000, XLOOKUP(S87, ZC4H2, J3:J1000, XLOOKUP(S87, SLC6A1, P3:P1000)))</f>
        <v>0</v>
      </c>
    </row>
    <row r="88">
      <c r="A88" s="7" t="str">
        <f>IFERROR(__xludf.DUMMYFUNCTION("""COMPUTED_VALUE"""),"Guanabenz")</f>
        <v>Guanabenz</v>
      </c>
      <c r="B88" s="8">
        <f>IFERROR(__xludf.DUMMYFUNCTION("""COMPUTED_VALUE"""),1.0)</f>
        <v>1</v>
      </c>
      <c r="C88" s="8">
        <f>IFERROR(__xludf.DUMMYFUNCTION("""COMPUTED_VALUE"""),3.0)</f>
        <v>3</v>
      </c>
      <c r="D88" s="7" t="b">
        <f>IFERROR(__xludf.DUMMYFUNCTION("""COMPUTED_VALUE"""),FALSE)</f>
        <v>0</v>
      </c>
      <c r="E88" s="7" t="b">
        <f>IFERROR(__xludf.DUMMYFUNCTION("""COMPUTED_VALUE"""),FALSE)</f>
        <v>0</v>
      </c>
      <c r="G88" s="7" t="str">
        <f>IFERROR(__xludf.DUMMYFUNCTION("""COMPUTED_VALUE"""),"Ketamine")</f>
        <v>Ketamine</v>
      </c>
      <c r="H88" s="8">
        <f>IFERROR(__xludf.DUMMYFUNCTION("""COMPUTED_VALUE"""),0.0)</f>
        <v>0</v>
      </c>
      <c r="I88" s="8">
        <f>IFERROR(__xludf.DUMMYFUNCTION("""COMPUTED_VALUE"""),3.0)</f>
        <v>3</v>
      </c>
      <c r="J88" s="7" t="b">
        <f>IFERROR(__xludf.DUMMYFUNCTION("""COMPUTED_VALUE"""),FALSE)</f>
        <v>0</v>
      </c>
      <c r="K88" s="7" t="b">
        <f>IFERROR(__xludf.DUMMYFUNCTION("""COMPUTED_VALUE"""),FALSE)</f>
        <v>0</v>
      </c>
      <c r="M88" s="7" t="str">
        <f>IFERROR(__xludf.DUMMYFUNCTION("""COMPUTED_VALUE"""),"Pyridoxine")</f>
        <v>Pyridoxine</v>
      </c>
      <c r="N88" s="8">
        <f>IFERROR(__xludf.DUMMYFUNCTION("""COMPUTED_VALUE"""),6.0)</f>
        <v>6</v>
      </c>
      <c r="O88" s="8">
        <f>IFERROR(__xludf.DUMMYFUNCTION("""COMPUTED_VALUE"""),3.0)</f>
        <v>3</v>
      </c>
      <c r="P88" s="7" t="b">
        <f>IFERROR(__xludf.DUMMYFUNCTION("""COMPUTED_VALUE"""),FALSE)</f>
        <v>0</v>
      </c>
      <c r="Q88" s="7" t="b">
        <f>IFERROR(__xludf.DUMMYFUNCTION("""COMPUTED_VALUE"""),FALSE)</f>
        <v>0</v>
      </c>
      <c r="S88" s="7" t="s">
        <v>97</v>
      </c>
      <c r="T88" s="8">
        <f t="array" ref="T88">XLOOKUP(S88, MAPK8IP3, B3:B1000, XLOOKUP(S88, ZC4H2, H3:H1000, XLOOKUP(S88, SLC6A1, N3:N1000)))</f>
        <v>1</v>
      </c>
      <c r="U88" s="8">
        <f t="array" ref="U88">XLOOKUP(S88, MAPK8IP3, C3:C1000, XLOOKUP(S88, ZC4H2, I3:I1000, XLOOKUP(S88, SLC6A1, O3:O1000)))</f>
        <v>3</v>
      </c>
      <c r="V88" s="7" t="b">
        <f t="array" ref="V88">XLOOKUP(S88, MAPK8IP3, D3:D1000, XLOOKUP(S88, ZC4H2, J3:J1000, XLOOKUP(S88, SLC6A1, P3:P1000)))</f>
        <v>0</v>
      </c>
    </row>
    <row r="89">
      <c r="A89" s="7" t="str">
        <f>IFERROR(__xludf.DUMMYFUNCTION("""COMPUTED_VALUE"""),"Methsuximide")</f>
        <v>Methsuximide</v>
      </c>
      <c r="B89" s="8">
        <f>IFERROR(__xludf.DUMMYFUNCTION("""COMPUTED_VALUE"""),1.0)</f>
        <v>1</v>
      </c>
      <c r="C89" s="8">
        <f>IFERROR(__xludf.DUMMYFUNCTION("""COMPUTED_VALUE"""),3.0)</f>
        <v>3</v>
      </c>
      <c r="D89" s="7" t="b">
        <f>IFERROR(__xludf.DUMMYFUNCTION("""COMPUTED_VALUE"""),FALSE)</f>
        <v>0</v>
      </c>
      <c r="E89" s="7" t="b">
        <f>IFERROR(__xludf.DUMMYFUNCTION("""COMPUTED_VALUE"""),FALSE)</f>
        <v>0</v>
      </c>
      <c r="G89" s="7" t="str">
        <f>IFERROR(__xludf.DUMMYFUNCTION("""COMPUTED_VALUE"""),"Mepivacaine")</f>
        <v>Mepivacaine</v>
      </c>
      <c r="H89" s="8">
        <f>IFERROR(__xludf.DUMMYFUNCTION("""COMPUTED_VALUE"""),0.0)</f>
        <v>0</v>
      </c>
      <c r="I89" s="8">
        <f>IFERROR(__xludf.DUMMYFUNCTION("""COMPUTED_VALUE"""),3.0)</f>
        <v>3</v>
      </c>
      <c r="J89" s="7" t="b">
        <f>IFERROR(__xludf.DUMMYFUNCTION("""COMPUTED_VALUE"""),FALSE)</f>
        <v>0</v>
      </c>
      <c r="K89" s="7" t="b">
        <f>IFERROR(__xludf.DUMMYFUNCTION("""COMPUTED_VALUE"""),FALSE)</f>
        <v>0</v>
      </c>
      <c r="M89" s="7" t="str">
        <f>IFERROR(__xludf.DUMMYFUNCTION("""COMPUTED_VALUE"""),"Quinine")</f>
        <v>Quinine</v>
      </c>
      <c r="N89" s="8">
        <f>IFERROR(__xludf.DUMMYFUNCTION("""COMPUTED_VALUE"""),0.0)</f>
        <v>0</v>
      </c>
      <c r="O89" s="8">
        <f>IFERROR(__xludf.DUMMYFUNCTION("""COMPUTED_VALUE"""),3.0)</f>
        <v>3</v>
      </c>
      <c r="P89" s="7" t="b">
        <f>IFERROR(__xludf.DUMMYFUNCTION("""COMPUTED_VALUE"""),FALSE)</f>
        <v>0</v>
      </c>
      <c r="Q89" s="7" t="b">
        <f>IFERROR(__xludf.DUMMYFUNCTION("""COMPUTED_VALUE"""),FALSE)</f>
        <v>0</v>
      </c>
      <c r="S89" s="7" t="s">
        <v>98</v>
      </c>
      <c r="T89" s="8">
        <f t="array" ref="T89">XLOOKUP(S89, MAPK8IP3, B3:B1000, XLOOKUP(S89, ZC4H2, H3:H1000, XLOOKUP(S89, SLC6A1, N3:N1000)))</f>
        <v>5</v>
      </c>
      <c r="U89" s="8">
        <f t="array" ref="U89">XLOOKUP(S89, MAPK8IP3, C3:C1000, XLOOKUP(S89, ZC4H2, I3:I1000, XLOOKUP(S89, SLC6A1, O3:O1000)))</f>
        <v>3</v>
      </c>
      <c r="V89" s="7" t="b">
        <f t="array" ref="V89">XLOOKUP(S89, MAPK8IP3, D3:D1000, XLOOKUP(S89, ZC4H2, J3:J1000, XLOOKUP(S89, SLC6A1, P3:P1000)))</f>
        <v>0</v>
      </c>
    </row>
    <row r="90">
      <c r="A90" s="7" t="str">
        <f>IFERROR(__xludf.DUMMYFUNCTION("""COMPUTED_VALUE"""),"Metyrapone")</f>
        <v>Metyrapone</v>
      </c>
      <c r="B90" s="8">
        <f>IFERROR(__xludf.DUMMYFUNCTION("""COMPUTED_VALUE"""),1.0)</f>
        <v>1</v>
      </c>
      <c r="C90" s="8">
        <f>IFERROR(__xludf.DUMMYFUNCTION("""COMPUTED_VALUE"""),3.0)</f>
        <v>3</v>
      </c>
      <c r="D90" s="7" t="b">
        <f>IFERROR(__xludf.DUMMYFUNCTION("""COMPUTED_VALUE"""),FALSE)</f>
        <v>0</v>
      </c>
      <c r="E90" s="7" t="b">
        <f>IFERROR(__xludf.DUMMYFUNCTION("""COMPUTED_VALUE"""),FALSE)</f>
        <v>0</v>
      </c>
      <c r="G90" s="7" t="str">
        <f>IFERROR(__xludf.DUMMYFUNCTION("""COMPUTED_VALUE"""),"Misoprostol")</f>
        <v>Misoprostol</v>
      </c>
      <c r="H90" s="8">
        <f>IFERROR(__xludf.DUMMYFUNCTION("""COMPUTED_VALUE"""),0.0)</f>
        <v>0</v>
      </c>
      <c r="I90" s="8">
        <f>IFERROR(__xludf.DUMMYFUNCTION("""COMPUTED_VALUE"""),3.0)</f>
        <v>3</v>
      </c>
      <c r="J90" s="7" t="b">
        <f>IFERROR(__xludf.DUMMYFUNCTION("""COMPUTED_VALUE"""),FALSE)</f>
        <v>0</v>
      </c>
      <c r="K90" s="7" t="b">
        <f>IFERROR(__xludf.DUMMYFUNCTION("""COMPUTED_VALUE"""),FALSE)</f>
        <v>0</v>
      </c>
      <c r="M90" s="7" t="str">
        <f>IFERROR(__xludf.DUMMYFUNCTION("""COMPUTED_VALUE"""),"Remifentanil")</f>
        <v>Remifentanil</v>
      </c>
      <c r="N90" s="8">
        <f>IFERROR(__xludf.DUMMYFUNCTION("""COMPUTED_VALUE"""),0.0)</f>
        <v>0</v>
      </c>
      <c r="O90" s="8">
        <f>IFERROR(__xludf.DUMMYFUNCTION("""COMPUTED_VALUE"""),3.0)</f>
        <v>3</v>
      </c>
      <c r="P90" s="7" t="b">
        <f>IFERROR(__xludf.DUMMYFUNCTION("""COMPUTED_VALUE"""),FALSE)</f>
        <v>0</v>
      </c>
      <c r="Q90" s="7" t="b">
        <f>IFERROR(__xludf.DUMMYFUNCTION("""COMPUTED_VALUE"""),FALSE)</f>
        <v>0</v>
      </c>
      <c r="S90" s="7" t="s">
        <v>99</v>
      </c>
      <c r="T90" s="8">
        <f t="array" ref="T90">XLOOKUP(S90, MAPK8IP3, B3:B1000, XLOOKUP(S90, ZC4H2, H3:H1000, XLOOKUP(S90, SLC6A1, N3:N1000)))</f>
        <v>0</v>
      </c>
      <c r="U90" s="8">
        <f t="array" ref="U90">XLOOKUP(S90, MAPK8IP3, C3:C1000, XLOOKUP(S90, ZC4H2, I3:I1000, XLOOKUP(S90, SLC6A1, O3:O1000)))</f>
        <v>3</v>
      </c>
      <c r="V90" s="7" t="b">
        <f t="array" ref="V90">XLOOKUP(S90, MAPK8IP3, D3:D1000, XLOOKUP(S90, ZC4H2, J3:J1000, XLOOKUP(S90, SLC6A1, P3:P1000)))</f>
        <v>0</v>
      </c>
    </row>
    <row r="91">
      <c r="A91" s="7" t="str">
        <f>IFERROR(__xludf.DUMMYFUNCTION("""COMPUTED_VALUE"""),"Moclobemide")</f>
        <v>Moclobemide</v>
      </c>
      <c r="B91" s="8">
        <f>IFERROR(__xludf.DUMMYFUNCTION("""COMPUTED_VALUE"""),1.0)</f>
        <v>1</v>
      </c>
      <c r="C91" s="8">
        <f>IFERROR(__xludf.DUMMYFUNCTION("""COMPUTED_VALUE"""),3.0)</f>
        <v>3</v>
      </c>
      <c r="D91" s="7" t="b">
        <f>IFERROR(__xludf.DUMMYFUNCTION("""COMPUTED_VALUE"""),TRUE)</f>
        <v>1</v>
      </c>
      <c r="E91" s="7" t="b">
        <f>IFERROR(__xludf.DUMMYFUNCTION("""COMPUTED_VALUE"""),TRUE)</f>
        <v>1</v>
      </c>
      <c r="G91" s="7" t="str">
        <f>IFERROR(__xludf.DUMMYFUNCTION("""COMPUTED_VALUE"""),"Nalbuphine")</f>
        <v>Nalbuphine</v>
      </c>
      <c r="H91" s="8">
        <f>IFERROR(__xludf.DUMMYFUNCTION("""COMPUTED_VALUE"""),0.0)</f>
        <v>0</v>
      </c>
      <c r="I91" s="8">
        <f>IFERROR(__xludf.DUMMYFUNCTION("""COMPUTED_VALUE"""),3.0)</f>
        <v>3</v>
      </c>
      <c r="J91" s="7" t="b">
        <f>IFERROR(__xludf.DUMMYFUNCTION("""COMPUTED_VALUE"""),FALSE)</f>
        <v>0</v>
      </c>
      <c r="K91" s="7" t="b">
        <f>IFERROR(__xludf.DUMMYFUNCTION("""COMPUTED_VALUE"""),FALSE)</f>
        <v>0</v>
      </c>
      <c r="M91" s="7" t="str">
        <f>IFERROR(__xludf.DUMMYFUNCTION("""COMPUTED_VALUE"""),"Rivastigmine")</f>
        <v>Rivastigmine</v>
      </c>
      <c r="N91" s="8">
        <f>IFERROR(__xludf.DUMMYFUNCTION("""COMPUTED_VALUE"""),2.0)</f>
        <v>2</v>
      </c>
      <c r="O91" s="8">
        <f>IFERROR(__xludf.DUMMYFUNCTION("""COMPUTED_VALUE"""),3.0)</f>
        <v>3</v>
      </c>
      <c r="P91" s="7" t="b">
        <f>IFERROR(__xludf.DUMMYFUNCTION("""COMPUTED_VALUE"""),TRUE)</f>
        <v>1</v>
      </c>
      <c r="Q91" s="7" t="b">
        <f>IFERROR(__xludf.DUMMYFUNCTION("""COMPUTED_VALUE"""),FALSE)</f>
        <v>0</v>
      </c>
      <c r="S91" s="7" t="s">
        <v>100</v>
      </c>
      <c r="T91" s="8">
        <f t="array" ref="T91">XLOOKUP(S91, MAPK8IP3, B3:B1000, XLOOKUP(S91, ZC4H2, H3:H1000, XLOOKUP(S91, SLC6A1, N3:N1000)))</f>
        <v>1</v>
      </c>
      <c r="U91" s="8">
        <f t="array" ref="U91">XLOOKUP(S91, MAPK8IP3, C3:C1000, XLOOKUP(S91, ZC4H2, I3:I1000, XLOOKUP(S91, SLC6A1, O3:O1000)))</f>
        <v>3</v>
      </c>
      <c r="V91" s="7" t="b">
        <f t="array" ref="V91">XLOOKUP(S91, MAPK8IP3, D3:D1000, XLOOKUP(S91, ZC4H2, J3:J1000, XLOOKUP(S91, SLC6A1, P3:P1000)))</f>
        <v>1</v>
      </c>
    </row>
    <row r="92">
      <c r="A92" s="7" t="str">
        <f>IFERROR(__xludf.DUMMYFUNCTION("""COMPUTED_VALUE"""),"Oxybutynin")</f>
        <v>Oxybutynin</v>
      </c>
      <c r="B92" s="8">
        <f>IFERROR(__xludf.DUMMYFUNCTION("""COMPUTED_VALUE"""),1.0)</f>
        <v>1</v>
      </c>
      <c r="C92" s="8">
        <f>IFERROR(__xludf.DUMMYFUNCTION("""COMPUTED_VALUE"""),3.0)</f>
        <v>3</v>
      </c>
      <c r="D92" s="7" t="b">
        <f>IFERROR(__xludf.DUMMYFUNCTION("""COMPUTED_VALUE"""),FALSE)</f>
        <v>0</v>
      </c>
      <c r="E92" s="7" t="b">
        <f>IFERROR(__xludf.DUMMYFUNCTION("""COMPUTED_VALUE"""),FALSE)</f>
        <v>0</v>
      </c>
      <c r="G92" s="7" t="str">
        <f>IFERROR(__xludf.DUMMYFUNCTION("""COMPUTED_VALUE"""),"Nitroglycerin")</f>
        <v>Nitroglycerin</v>
      </c>
      <c r="H92" s="8">
        <f>IFERROR(__xludf.DUMMYFUNCTION("""COMPUTED_VALUE"""),0.0)</f>
        <v>0</v>
      </c>
      <c r="I92" s="8">
        <f>IFERROR(__xludf.DUMMYFUNCTION("""COMPUTED_VALUE"""),3.0)</f>
        <v>3</v>
      </c>
      <c r="J92" s="7" t="b">
        <f>IFERROR(__xludf.DUMMYFUNCTION("""COMPUTED_VALUE"""),FALSE)</f>
        <v>0</v>
      </c>
      <c r="K92" s="7" t="b">
        <f>IFERROR(__xludf.DUMMYFUNCTION("""COMPUTED_VALUE"""),FALSE)</f>
        <v>0</v>
      </c>
      <c r="M92" s="7" t="str">
        <f>IFERROR(__xludf.DUMMYFUNCTION("""COMPUTED_VALUE"""),"Ropivacaine")</f>
        <v>Ropivacaine</v>
      </c>
      <c r="N92" s="8">
        <f>IFERROR(__xludf.DUMMYFUNCTION("""COMPUTED_VALUE"""),0.0)</f>
        <v>0</v>
      </c>
      <c r="O92" s="8">
        <f>IFERROR(__xludf.DUMMYFUNCTION("""COMPUTED_VALUE"""),3.0)</f>
        <v>3</v>
      </c>
      <c r="P92" s="7" t="b">
        <f>IFERROR(__xludf.DUMMYFUNCTION("""COMPUTED_VALUE"""),FALSE)</f>
        <v>0</v>
      </c>
      <c r="Q92" s="7" t="b">
        <f>IFERROR(__xludf.DUMMYFUNCTION("""COMPUTED_VALUE"""),FALSE)</f>
        <v>0</v>
      </c>
      <c r="S92" s="7" t="s">
        <v>101</v>
      </c>
      <c r="T92" s="7">
        <f t="array" ref="T92">XLOOKUP(S92, MAPK8IP3, B3:B1000, XLOOKUP(S92, ZC4H2, H3:H1000, XLOOKUP(S92, SLC6A1, N3:N1000)))</f>
        <v>3</v>
      </c>
      <c r="U92" s="7">
        <f t="array" ref="U92">XLOOKUP(S92, MAPK8IP3, C3:C1000, XLOOKUP(S92, ZC4H2, I3:I1000, XLOOKUP(S92, SLC6A1, O3:O1000)))</f>
        <v>3</v>
      </c>
      <c r="V92" s="7" t="b">
        <f t="array" ref="V92">XLOOKUP(S92, MAPK8IP3, D3:D1000, XLOOKUP(S92, ZC4H2, J3:J1000, XLOOKUP(S92, SLC6A1, P3:P1000)))</f>
        <v>0</v>
      </c>
    </row>
    <row r="93">
      <c r="A93" s="7" t="str">
        <f>IFERROR(__xludf.DUMMYFUNCTION("""COMPUTED_VALUE"""),"Oxymetazoline")</f>
        <v>Oxymetazoline</v>
      </c>
      <c r="B93" s="8">
        <f>IFERROR(__xludf.DUMMYFUNCTION("""COMPUTED_VALUE"""),1.0)</f>
        <v>1</v>
      </c>
      <c r="C93" s="8">
        <f>IFERROR(__xludf.DUMMYFUNCTION("""COMPUTED_VALUE"""),3.0)</f>
        <v>3</v>
      </c>
      <c r="D93" s="7" t="b">
        <f>IFERROR(__xludf.DUMMYFUNCTION("""COMPUTED_VALUE"""),FALSE)</f>
        <v>0</v>
      </c>
      <c r="E93" s="7" t="b">
        <f>IFERROR(__xludf.DUMMYFUNCTION("""COMPUTED_VALUE"""),FALSE)</f>
        <v>0</v>
      </c>
      <c r="G93" s="7" t="str">
        <f>IFERROR(__xludf.DUMMYFUNCTION("""COMPUTED_VALUE"""),"Pentobarbital")</f>
        <v>Pentobarbital</v>
      </c>
      <c r="H93" s="8">
        <f>IFERROR(__xludf.DUMMYFUNCTION("""COMPUTED_VALUE"""),0.0)</f>
        <v>0</v>
      </c>
      <c r="I93" s="8">
        <f>IFERROR(__xludf.DUMMYFUNCTION("""COMPUTED_VALUE"""),3.0)</f>
        <v>3</v>
      </c>
      <c r="J93" s="7" t="b">
        <f>IFERROR(__xludf.DUMMYFUNCTION("""COMPUTED_VALUE"""),FALSE)</f>
        <v>0</v>
      </c>
      <c r="K93" s="7" t="b">
        <f>IFERROR(__xludf.DUMMYFUNCTION("""COMPUTED_VALUE"""),FALSE)</f>
        <v>0</v>
      </c>
      <c r="M93" s="7" t="str">
        <f>IFERROR(__xludf.DUMMYFUNCTION("""COMPUTED_VALUE"""),"Sertraline")</f>
        <v>Sertraline</v>
      </c>
      <c r="N93" s="8">
        <f>IFERROR(__xludf.DUMMYFUNCTION("""COMPUTED_VALUE"""),6.0)</f>
        <v>6</v>
      </c>
      <c r="O93" s="8">
        <f>IFERROR(__xludf.DUMMYFUNCTION("""COMPUTED_VALUE"""),3.0)</f>
        <v>3</v>
      </c>
      <c r="P93" s="7" t="b">
        <f>IFERROR(__xludf.DUMMYFUNCTION("""COMPUTED_VALUE"""),TRUE)</f>
        <v>1</v>
      </c>
      <c r="Q93" s="7" t="b">
        <f>IFERROR(__xludf.DUMMYFUNCTION("""COMPUTED_VALUE"""),FALSE)</f>
        <v>0</v>
      </c>
      <c r="S93" s="7" t="s">
        <v>102</v>
      </c>
      <c r="T93" s="8">
        <f t="array" ref="T93">XLOOKUP(S93, MAPK8IP3, B3:B1000, XLOOKUP(S93, ZC4H2, H3:H1000, XLOOKUP(S93, SLC6A1, N3:N1000)))</f>
        <v>0</v>
      </c>
      <c r="U93" s="8">
        <f t="array" ref="U93">XLOOKUP(S93, MAPK8IP3, C3:C1000, XLOOKUP(S93, ZC4H2, I3:I1000, XLOOKUP(S93, SLC6A1, O3:O1000)))</f>
        <v>3</v>
      </c>
      <c r="V93" s="7" t="b">
        <f t="array" ref="V93">XLOOKUP(S93, MAPK8IP3, D3:D1000, XLOOKUP(S93, ZC4H2, J3:J1000, XLOOKUP(S93, SLC6A1, P3:P1000)))</f>
        <v>0</v>
      </c>
    </row>
    <row r="94">
      <c r="A94" s="7" t="str">
        <f>IFERROR(__xludf.DUMMYFUNCTION("""COMPUTED_VALUE"""),"Paricalcitol")</f>
        <v>Paricalcitol</v>
      </c>
      <c r="B94" s="8">
        <f>IFERROR(__xludf.DUMMYFUNCTION("""COMPUTED_VALUE"""),1.0)</f>
        <v>1</v>
      </c>
      <c r="C94" s="8">
        <f>IFERROR(__xludf.DUMMYFUNCTION("""COMPUTED_VALUE"""),3.0)</f>
        <v>3</v>
      </c>
      <c r="D94" s="7" t="b">
        <f>IFERROR(__xludf.DUMMYFUNCTION("""COMPUTED_VALUE"""),FALSE)</f>
        <v>0</v>
      </c>
      <c r="E94" s="7" t="b">
        <f>IFERROR(__xludf.DUMMYFUNCTION("""COMPUTED_VALUE"""),FALSE)</f>
        <v>0</v>
      </c>
      <c r="G94" s="7" t="str">
        <f>IFERROR(__xludf.DUMMYFUNCTION("""COMPUTED_VALUE"""),"Perphenazine")</f>
        <v>Perphenazine</v>
      </c>
      <c r="H94" s="8">
        <f>IFERROR(__xludf.DUMMYFUNCTION("""COMPUTED_VALUE"""),0.0)</f>
        <v>0</v>
      </c>
      <c r="I94" s="8">
        <f>IFERROR(__xludf.DUMMYFUNCTION("""COMPUTED_VALUE"""),3.0)</f>
        <v>3</v>
      </c>
      <c r="J94" s="7" t="b">
        <f>IFERROR(__xludf.DUMMYFUNCTION("""COMPUTED_VALUE"""),FALSE)</f>
        <v>0</v>
      </c>
      <c r="K94" s="7" t="b">
        <f>IFERROR(__xludf.DUMMYFUNCTION("""COMPUTED_VALUE"""),FALSE)</f>
        <v>0</v>
      </c>
      <c r="M94" s="7" t="str">
        <f>IFERROR(__xludf.DUMMYFUNCTION("""COMPUTED_VALUE"""),"Sevoflurane")</f>
        <v>Sevoflurane</v>
      </c>
      <c r="N94" s="8">
        <f>IFERROR(__xludf.DUMMYFUNCTION("""COMPUTED_VALUE"""),0.0)</f>
        <v>0</v>
      </c>
      <c r="O94" s="8">
        <f>IFERROR(__xludf.DUMMYFUNCTION("""COMPUTED_VALUE"""),3.0)</f>
        <v>3</v>
      </c>
      <c r="P94" s="7" t="b">
        <f>IFERROR(__xludf.DUMMYFUNCTION("""COMPUTED_VALUE"""),FALSE)</f>
        <v>0</v>
      </c>
      <c r="Q94" s="7" t="b">
        <f>IFERROR(__xludf.DUMMYFUNCTION("""COMPUTED_VALUE"""),FALSE)</f>
        <v>0</v>
      </c>
      <c r="S94" s="7" t="s">
        <v>103</v>
      </c>
      <c r="T94" s="8">
        <f t="array" ref="T94">XLOOKUP(S94, MAPK8IP3, B3:B1000, XLOOKUP(S94, ZC4H2, H3:H1000, XLOOKUP(S94, SLC6A1, N3:N1000)))</f>
        <v>3</v>
      </c>
      <c r="U94" s="8">
        <f t="array" ref="U94">XLOOKUP(S94, MAPK8IP3, C3:C1000, XLOOKUP(S94, ZC4H2, I3:I1000, XLOOKUP(S94, SLC6A1, O3:O1000)))</f>
        <v>3</v>
      </c>
      <c r="V94" s="7" t="b">
        <f t="array" ref="V94">XLOOKUP(S94, MAPK8IP3, D3:D1000, XLOOKUP(S94, ZC4H2, J3:J1000, XLOOKUP(S94, SLC6A1, P3:P1000)))</f>
        <v>0</v>
      </c>
    </row>
    <row r="95">
      <c r="A95" s="7" t="str">
        <f>IFERROR(__xludf.DUMMYFUNCTION("""COMPUTED_VALUE"""),"Praziquantel")</f>
        <v>Praziquantel</v>
      </c>
      <c r="B95" s="8">
        <f>IFERROR(__xludf.DUMMYFUNCTION("""COMPUTED_VALUE"""),1.0)</f>
        <v>1</v>
      </c>
      <c r="C95" s="8">
        <f>IFERROR(__xludf.DUMMYFUNCTION("""COMPUTED_VALUE"""),3.0)</f>
        <v>3</v>
      </c>
      <c r="D95" s="7" t="b">
        <f>IFERROR(__xludf.DUMMYFUNCTION("""COMPUTED_VALUE"""),FALSE)</f>
        <v>0</v>
      </c>
      <c r="E95" s="7" t="b">
        <f>IFERROR(__xludf.DUMMYFUNCTION("""COMPUTED_VALUE"""),FALSE)</f>
        <v>0</v>
      </c>
      <c r="G95" s="7" t="str">
        <f>IFERROR(__xludf.DUMMYFUNCTION("""COMPUTED_VALUE"""),"Phenoxybenzamine")</f>
        <v>Phenoxybenzamine</v>
      </c>
      <c r="H95" s="8">
        <f>IFERROR(__xludf.DUMMYFUNCTION("""COMPUTED_VALUE"""),0.0)</f>
        <v>0</v>
      </c>
      <c r="I95" s="8">
        <f>IFERROR(__xludf.DUMMYFUNCTION("""COMPUTED_VALUE"""),3.0)</f>
        <v>3</v>
      </c>
      <c r="J95" s="7" t="b">
        <f>IFERROR(__xludf.DUMMYFUNCTION("""COMPUTED_VALUE"""),FALSE)</f>
        <v>0</v>
      </c>
      <c r="K95" s="7" t="b">
        <f>IFERROR(__xludf.DUMMYFUNCTION("""COMPUTED_VALUE"""),FALSE)</f>
        <v>0</v>
      </c>
      <c r="M95" s="7" t="str">
        <f>IFERROR(__xludf.DUMMYFUNCTION("""COMPUTED_VALUE"""),"Succinic acid")</f>
        <v>Succinic acid</v>
      </c>
      <c r="N95" s="8">
        <f>IFERROR(__xludf.DUMMYFUNCTION("""COMPUTED_VALUE"""),3.0)</f>
        <v>3</v>
      </c>
      <c r="O95" s="8">
        <f>IFERROR(__xludf.DUMMYFUNCTION("""COMPUTED_VALUE"""),3.0)</f>
        <v>3</v>
      </c>
      <c r="P95" s="7" t="b">
        <f>IFERROR(__xludf.DUMMYFUNCTION("""COMPUTED_VALUE"""),FALSE)</f>
        <v>0</v>
      </c>
      <c r="Q95" s="7" t="b">
        <f>IFERROR(__xludf.DUMMYFUNCTION("""COMPUTED_VALUE"""),FALSE)</f>
        <v>0</v>
      </c>
      <c r="S95" s="7" t="s">
        <v>104</v>
      </c>
      <c r="T95" s="7">
        <f t="array" ref="T95">XLOOKUP(S95, MAPK8IP3, B3:B1000, XLOOKUP(S95, ZC4H2, H3:H1000, XLOOKUP(S95, SLC6A1, N3:N1000)))</f>
        <v>0</v>
      </c>
      <c r="U95" s="7">
        <f t="array" ref="U95">XLOOKUP(S95, MAPK8IP3, C3:C1000, XLOOKUP(S95, ZC4H2, I3:I1000, XLOOKUP(S95, SLC6A1, O3:O1000)))</f>
        <v>3</v>
      </c>
      <c r="V95" s="7" t="b">
        <f t="array" ref="V95">XLOOKUP(S95, MAPK8IP3, D3:D1000, XLOOKUP(S95, ZC4H2, J3:J1000, XLOOKUP(S95, SLC6A1, P3:P1000)))</f>
        <v>0</v>
      </c>
    </row>
    <row r="96">
      <c r="A96" s="7" t="str">
        <f>IFERROR(__xludf.DUMMYFUNCTION("""COMPUTED_VALUE"""),"Tramadol")</f>
        <v>Tramadol</v>
      </c>
      <c r="B96" s="8">
        <f>IFERROR(__xludf.DUMMYFUNCTION("""COMPUTED_VALUE"""),1.0)</f>
        <v>1</v>
      </c>
      <c r="C96" s="8">
        <f>IFERROR(__xludf.DUMMYFUNCTION("""COMPUTED_VALUE"""),3.0)</f>
        <v>3</v>
      </c>
      <c r="D96" s="7" t="b">
        <f>IFERROR(__xludf.DUMMYFUNCTION("""COMPUTED_VALUE"""),FALSE)</f>
        <v>0</v>
      </c>
      <c r="E96" s="7" t="b">
        <f>IFERROR(__xludf.DUMMYFUNCTION("""COMPUTED_VALUE"""),FALSE)</f>
        <v>0</v>
      </c>
      <c r="G96" s="7" t="str">
        <f>IFERROR(__xludf.DUMMYFUNCTION("""COMPUTED_VALUE"""),"Phentolamine")</f>
        <v>Phentolamine</v>
      </c>
      <c r="H96" s="8">
        <f>IFERROR(__xludf.DUMMYFUNCTION("""COMPUTED_VALUE"""),0.0)</f>
        <v>0</v>
      </c>
      <c r="I96" s="8">
        <f>IFERROR(__xludf.DUMMYFUNCTION("""COMPUTED_VALUE"""),3.0)</f>
        <v>3</v>
      </c>
      <c r="J96" s="7" t="b">
        <f>IFERROR(__xludf.DUMMYFUNCTION("""COMPUTED_VALUE"""),FALSE)</f>
        <v>0</v>
      </c>
      <c r="K96" s="7" t="b">
        <f>IFERROR(__xludf.DUMMYFUNCTION("""COMPUTED_VALUE"""),FALSE)</f>
        <v>0</v>
      </c>
      <c r="M96" s="7" t="str">
        <f>IFERROR(__xludf.DUMMYFUNCTION("""COMPUTED_VALUE"""),"Tolterodine")</f>
        <v>Tolterodine</v>
      </c>
      <c r="N96" s="8">
        <f>IFERROR(__xludf.DUMMYFUNCTION("""COMPUTED_VALUE"""),1.0)</f>
        <v>1</v>
      </c>
      <c r="O96" s="8">
        <f>IFERROR(__xludf.DUMMYFUNCTION("""COMPUTED_VALUE"""),3.0)</f>
        <v>3</v>
      </c>
      <c r="P96" s="7" t="b">
        <f>IFERROR(__xludf.DUMMYFUNCTION("""COMPUTED_VALUE"""),FALSE)</f>
        <v>0</v>
      </c>
      <c r="Q96" s="7" t="b">
        <f>IFERROR(__xludf.DUMMYFUNCTION("""COMPUTED_VALUE"""),FALSE)</f>
        <v>0</v>
      </c>
      <c r="S96" s="7" t="s">
        <v>105</v>
      </c>
      <c r="T96" s="8">
        <f t="array" ref="T96">XLOOKUP(S96, MAPK8IP3, B3:B1000, XLOOKUP(S96, ZC4H2, H3:H1000, XLOOKUP(S96, SLC6A1, N3:N1000)))</f>
        <v>0</v>
      </c>
      <c r="U96" s="8">
        <f t="array" ref="U96">XLOOKUP(S96, MAPK8IP3, C3:C1000, XLOOKUP(S96, ZC4H2, I3:I1000, XLOOKUP(S96, SLC6A1, O3:O1000)))</f>
        <v>3</v>
      </c>
      <c r="V96" s="7" t="b">
        <f t="array" ref="V96">XLOOKUP(S96, MAPK8IP3, D3:D1000, XLOOKUP(S96, ZC4H2, J3:J1000, XLOOKUP(S96, SLC6A1, P3:P1000)))</f>
        <v>0</v>
      </c>
    </row>
    <row r="97">
      <c r="A97" s="7" t="str">
        <f>IFERROR(__xludf.DUMMYFUNCTION("""COMPUTED_VALUE"""),"Tropicamide")</f>
        <v>Tropicamide</v>
      </c>
      <c r="B97" s="8">
        <f>IFERROR(__xludf.DUMMYFUNCTION("""COMPUTED_VALUE"""),1.0)</f>
        <v>1</v>
      </c>
      <c r="C97" s="8">
        <f>IFERROR(__xludf.DUMMYFUNCTION("""COMPUTED_VALUE"""),3.0)</f>
        <v>3</v>
      </c>
      <c r="D97" s="7" t="b">
        <f>IFERROR(__xludf.DUMMYFUNCTION("""COMPUTED_VALUE"""),FALSE)</f>
        <v>0</v>
      </c>
      <c r="E97" s="7" t="b">
        <f>IFERROR(__xludf.DUMMYFUNCTION("""COMPUTED_VALUE"""),FALSE)</f>
        <v>0</v>
      </c>
      <c r="G97" s="7" t="str">
        <f>IFERROR(__xludf.DUMMYFUNCTION("""COMPUTED_VALUE"""),"Pilocarpine")</f>
        <v>Pilocarpine</v>
      </c>
      <c r="H97" s="8">
        <f>IFERROR(__xludf.DUMMYFUNCTION("""COMPUTED_VALUE"""),0.0)</f>
        <v>0</v>
      </c>
      <c r="I97" s="8">
        <f>IFERROR(__xludf.DUMMYFUNCTION("""COMPUTED_VALUE"""),3.0)</f>
        <v>3</v>
      </c>
      <c r="J97" s="7" t="b">
        <f>IFERROR(__xludf.DUMMYFUNCTION("""COMPUTED_VALUE"""),FALSE)</f>
        <v>0</v>
      </c>
      <c r="K97" s="7" t="b">
        <f>IFERROR(__xludf.DUMMYFUNCTION("""COMPUTED_VALUE"""),FALSE)</f>
        <v>0</v>
      </c>
      <c r="M97" s="7" t="str">
        <f>IFERROR(__xludf.DUMMYFUNCTION("""COMPUTED_VALUE"""),"Tramadol")</f>
        <v>Tramadol</v>
      </c>
      <c r="N97" s="8">
        <f>IFERROR(__xludf.DUMMYFUNCTION("""COMPUTED_VALUE"""),1.0)</f>
        <v>1</v>
      </c>
      <c r="O97" s="8">
        <f>IFERROR(__xludf.DUMMYFUNCTION("""COMPUTED_VALUE"""),3.0)</f>
        <v>3</v>
      </c>
      <c r="P97" s="7" t="b">
        <f>IFERROR(__xludf.DUMMYFUNCTION("""COMPUTED_VALUE"""),FALSE)</f>
        <v>0</v>
      </c>
      <c r="Q97" s="7" t="b">
        <f>IFERROR(__xludf.DUMMYFUNCTION("""COMPUTED_VALUE"""),FALSE)</f>
        <v>0</v>
      </c>
      <c r="S97" s="7" t="s">
        <v>106</v>
      </c>
      <c r="T97" s="8">
        <f t="array" ref="T97">XLOOKUP(S97, MAPK8IP3, B3:B1000, XLOOKUP(S97, ZC4H2, H3:H1000, XLOOKUP(S97, SLC6A1, N3:N1000)))</f>
        <v>6</v>
      </c>
      <c r="U97" s="8">
        <f t="array" ref="U97">XLOOKUP(S97, MAPK8IP3, C3:C1000, XLOOKUP(S97, ZC4H2, I3:I1000, XLOOKUP(S97, SLC6A1, O3:O1000)))</f>
        <v>3</v>
      </c>
      <c r="V97" s="7" t="b">
        <f t="array" ref="V97">XLOOKUP(S97, MAPK8IP3, D3:D1000, XLOOKUP(S97, ZC4H2, J3:J1000, XLOOKUP(S97, SLC6A1, P3:P1000)))</f>
        <v>0</v>
      </c>
    </row>
    <row r="98">
      <c r="A98" s="7" t="str">
        <f>IFERROR(__xludf.DUMMYFUNCTION("""COMPUTED_VALUE"""),"Desflurane")</f>
        <v>Desflurane</v>
      </c>
      <c r="B98" s="8">
        <f>IFERROR(__xludf.DUMMYFUNCTION("""COMPUTED_VALUE"""),0.0)</f>
        <v>0</v>
      </c>
      <c r="C98" s="8">
        <f>IFERROR(__xludf.DUMMYFUNCTION("""COMPUTED_VALUE"""),3.0)</f>
        <v>3</v>
      </c>
      <c r="D98" s="7" t="b">
        <f>IFERROR(__xludf.DUMMYFUNCTION("""COMPUTED_VALUE"""),FALSE)</f>
        <v>0</v>
      </c>
      <c r="E98" s="7" t="b">
        <f>IFERROR(__xludf.DUMMYFUNCTION("""COMPUTED_VALUE"""),FALSE)</f>
        <v>0</v>
      </c>
      <c r="G98" s="7" t="str">
        <f>IFERROR(__xludf.DUMMYFUNCTION("""COMPUTED_VALUE"""),"Primaquine")</f>
        <v>Primaquine</v>
      </c>
      <c r="H98" s="8">
        <f>IFERROR(__xludf.DUMMYFUNCTION("""COMPUTED_VALUE"""),0.0)</f>
        <v>0</v>
      </c>
      <c r="I98" s="8">
        <f>IFERROR(__xludf.DUMMYFUNCTION("""COMPUTED_VALUE"""),3.0)</f>
        <v>3</v>
      </c>
      <c r="J98" s="7" t="b">
        <f>IFERROR(__xludf.DUMMYFUNCTION("""COMPUTED_VALUE"""),FALSE)</f>
        <v>0</v>
      </c>
      <c r="K98" s="7" t="b">
        <f>IFERROR(__xludf.DUMMYFUNCTION("""COMPUTED_VALUE"""),FALSE)</f>
        <v>0</v>
      </c>
      <c r="M98" s="7" t="str">
        <f>IFERROR(__xludf.DUMMYFUNCTION("""COMPUTED_VALUE"""),"Tranexamic acid")</f>
        <v>Tranexamic acid</v>
      </c>
      <c r="N98" s="8">
        <f>IFERROR(__xludf.DUMMYFUNCTION("""COMPUTED_VALUE"""),2.0)</f>
        <v>2</v>
      </c>
      <c r="O98" s="8">
        <f>IFERROR(__xludf.DUMMYFUNCTION("""COMPUTED_VALUE"""),3.0)</f>
        <v>3</v>
      </c>
      <c r="P98" s="7" t="b">
        <f>IFERROR(__xludf.DUMMYFUNCTION("""COMPUTED_VALUE"""),FALSE)</f>
        <v>0</v>
      </c>
      <c r="Q98" s="7" t="b">
        <f>IFERROR(__xludf.DUMMYFUNCTION("""COMPUTED_VALUE"""),FALSE)</f>
        <v>0</v>
      </c>
      <c r="S98" s="7" t="s">
        <v>107</v>
      </c>
      <c r="T98" s="8">
        <f t="array" ref="T98">XLOOKUP(S98, MAPK8IP3, B3:B1000, XLOOKUP(S98, ZC4H2, H3:H1000, XLOOKUP(S98, SLC6A1, N3:N1000)))</f>
        <v>-2</v>
      </c>
      <c r="U98" s="8">
        <f t="array" ref="U98">XLOOKUP(S98, MAPK8IP3, C3:C1000, XLOOKUP(S98, ZC4H2, I3:I1000, XLOOKUP(S98, SLC6A1, O3:O1000)))</f>
        <v>1</v>
      </c>
      <c r="V98" s="7" t="b">
        <f t="array" ref="V98">XLOOKUP(S98, MAPK8IP3, D3:D1000, XLOOKUP(S98, ZC4H2, J3:J1000, XLOOKUP(S98, SLC6A1, P3:P1000)))</f>
        <v>1</v>
      </c>
    </row>
    <row r="99">
      <c r="A99" s="7" t="str">
        <f>IFERROR(__xludf.DUMMYFUNCTION("""COMPUTED_VALUE"""),"Ketamine")</f>
        <v>Ketamine</v>
      </c>
      <c r="B99" s="8">
        <f>IFERROR(__xludf.DUMMYFUNCTION("""COMPUTED_VALUE"""),0.0)</f>
        <v>0</v>
      </c>
      <c r="C99" s="8">
        <f>IFERROR(__xludf.DUMMYFUNCTION("""COMPUTED_VALUE"""),3.0)</f>
        <v>3</v>
      </c>
      <c r="D99" s="7" t="b">
        <f>IFERROR(__xludf.DUMMYFUNCTION("""COMPUTED_VALUE"""),FALSE)</f>
        <v>0</v>
      </c>
      <c r="E99" s="7" t="b">
        <f>IFERROR(__xludf.DUMMYFUNCTION("""COMPUTED_VALUE"""),FALSE)</f>
        <v>0</v>
      </c>
      <c r="G99" s="7" t="str">
        <f>IFERROR(__xludf.DUMMYFUNCTION("""COMPUTED_VALUE"""),"Procaine")</f>
        <v>Procaine</v>
      </c>
      <c r="H99" s="8">
        <f>IFERROR(__xludf.DUMMYFUNCTION("""COMPUTED_VALUE"""),0.0)</f>
        <v>0</v>
      </c>
      <c r="I99" s="8">
        <f>IFERROR(__xludf.DUMMYFUNCTION("""COMPUTED_VALUE"""),3.0)</f>
        <v>3</v>
      </c>
      <c r="J99" s="7" t="b">
        <f>IFERROR(__xludf.DUMMYFUNCTION("""COMPUTED_VALUE"""),FALSE)</f>
        <v>0</v>
      </c>
      <c r="K99" s="7" t="b">
        <f>IFERROR(__xludf.DUMMYFUNCTION("""COMPUTED_VALUE"""),FALSE)</f>
        <v>0</v>
      </c>
      <c r="M99" s="7" t="str">
        <f>IFERROR(__xludf.DUMMYFUNCTION("""COMPUTED_VALUE"""),"Tretinoin")</f>
        <v>Tretinoin</v>
      </c>
      <c r="N99" s="8">
        <f>IFERROR(__xludf.DUMMYFUNCTION("""COMPUTED_VALUE"""),3.0)</f>
        <v>3</v>
      </c>
      <c r="O99" s="8">
        <f>IFERROR(__xludf.DUMMYFUNCTION("""COMPUTED_VALUE"""),3.0)</f>
        <v>3</v>
      </c>
      <c r="P99" s="7" t="b">
        <f>IFERROR(__xludf.DUMMYFUNCTION("""COMPUTED_VALUE"""),FALSE)</f>
        <v>0</v>
      </c>
      <c r="Q99" s="7" t="b">
        <f>IFERROR(__xludf.DUMMYFUNCTION("""COMPUTED_VALUE"""),FALSE)</f>
        <v>0</v>
      </c>
      <c r="S99" s="7" t="s">
        <v>108</v>
      </c>
      <c r="T99" s="8">
        <f t="array" ref="T99">XLOOKUP(S99, MAPK8IP3, B3:B1000, XLOOKUP(S99, ZC4H2, H3:H1000, XLOOKUP(S99, SLC6A1, N3:N1000)))</f>
        <v>1</v>
      </c>
      <c r="U99" s="8">
        <f t="array" ref="U99">XLOOKUP(S99, MAPK8IP3, C3:C1000, XLOOKUP(S99, ZC4H2, I3:I1000, XLOOKUP(S99, SLC6A1, O3:O1000)))</f>
        <v>3</v>
      </c>
      <c r="V99" s="7" t="b">
        <f t="array" ref="V99">XLOOKUP(S99, MAPK8IP3, D3:D1000, XLOOKUP(S99, ZC4H2, J3:J1000, XLOOKUP(S99, SLC6A1, P3:P1000)))</f>
        <v>0</v>
      </c>
    </row>
    <row r="100">
      <c r="A100" s="7" t="str">
        <f>IFERROR(__xludf.DUMMYFUNCTION("""COMPUTED_VALUE"""),"Latanoprost")</f>
        <v>Latanoprost</v>
      </c>
      <c r="B100" s="8">
        <f>IFERROR(__xludf.DUMMYFUNCTION("""COMPUTED_VALUE"""),0.0)</f>
        <v>0</v>
      </c>
      <c r="C100" s="8">
        <f>IFERROR(__xludf.DUMMYFUNCTION("""COMPUTED_VALUE"""),3.0)</f>
        <v>3</v>
      </c>
      <c r="D100" s="7" t="b">
        <f>IFERROR(__xludf.DUMMYFUNCTION("""COMPUTED_VALUE"""),FALSE)</f>
        <v>0</v>
      </c>
      <c r="E100" s="7" t="b">
        <f>IFERROR(__xludf.DUMMYFUNCTION("""COMPUTED_VALUE"""),FALSE)</f>
        <v>0</v>
      </c>
      <c r="G100" s="7" t="str">
        <f>IFERROR(__xludf.DUMMYFUNCTION("""COMPUTED_VALUE"""),"Propofol")</f>
        <v>Propofol</v>
      </c>
      <c r="H100" s="8">
        <f>IFERROR(__xludf.DUMMYFUNCTION("""COMPUTED_VALUE"""),0.0)</f>
        <v>0</v>
      </c>
      <c r="I100" s="8">
        <f>IFERROR(__xludf.DUMMYFUNCTION("""COMPUTED_VALUE"""),3.0)</f>
        <v>3</v>
      </c>
      <c r="J100" s="7" t="b">
        <f>IFERROR(__xludf.DUMMYFUNCTION("""COMPUTED_VALUE"""),FALSE)</f>
        <v>0</v>
      </c>
      <c r="K100" s="7" t="b">
        <f>IFERROR(__xludf.DUMMYFUNCTION("""COMPUTED_VALUE"""),FALSE)</f>
        <v>0</v>
      </c>
      <c r="M100" s="7" t="str">
        <f>IFERROR(__xludf.DUMMYFUNCTION("""COMPUTED_VALUE"""),"Triamcinolone")</f>
        <v>Triamcinolone</v>
      </c>
      <c r="N100" s="8">
        <f>IFERROR(__xludf.DUMMYFUNCTION("""COMPUTED_VALUE"""),6.0)</f>
        <v>6</v>
      </c>
      <c r="O100" s="8">
        <f>IFERROR(__xludf.DUMMYFUNCTION("""COMPUTED_VALUE"""),3.0)</f>
        <v>3</v>
      </c>
      <c r="P100" s="7" t="b">
        <f>IFERROR(__xludf.DUMMYFUNCTION("""COMPUTED_VALUE"""),FALSE)</f>
        <v>0</v>
      </c>
      <c r="Q100" s="7" t="b">
        <f>IFERROR(__xludf.DUMMYFUNCTION("""COMPUTED_VALUE"""),FALSE)</f>
        <v>0</v>
      </c>
      <c r="S100" s="7" t="s">
        <v>109</v>
      </c>
      <c r="T100" s="8">
        <f t="array" ref="T100">XLOOKUP(S100, MAPK8IP3, B3:B1000, XLOOKUP(S100, ZC4H2, H3:H1000, XLOOKUP(S100, SLC6A1, N3:N1000)))</f>
        <v>1</v>
      </c>
      <c r="U100" s="8">
        <f t="array" ref="U100">XLOOKUP(S100, MAPK8IP3, C3:C1000, XLOOKUP(S100, ZC4H2, I3:I1000, XLOOKUP(S100, SLC6A1, O3:O1000)))</f>
        <v>3</v>
      </c>
      <c r="V100" s="7" t="b">
        <f t="array" ref="V100">XLOOKUP(S100, MAPK8IP3, D3:D1000, XLOOKUP(S100, ZC4H2, J3:J1000, XLOOKUP(S100, SLC6A1, P3:P1000)))</f>
        <v>0</v>
      </c>
    </row>
    <row r="101">
      <c r="A101" s="7" t="str">
        <f>IFERROR(__xludf.DUMMYFUNCTION("""COMPUTED_VALUE"""),"Lumateperone")</f>
        <v>Lumateperone</v>
      </c>
      <c r="B101" s="8">
        <f>IFERROR(__xludf.DUMMYFUNCTION("""COMPUTED_VALUE"""),0.0)</f>
        <v>0</v>
      </c>
      <c r="C101" s="8">
        <f>IFERROR(__xludf.DUMMYFUNCTION("""COMPUTED_VALUE"""),1.0)</f>
        <v>1</v>
      </c>
      <c r="D101" s="7" t="b">
        <f>IFERROR(__xludf.DUMMYFUNCTION("""COMPUTED_VALUE"""),TRUE)</f>
        <v>1</v>
      </c>
      <c r="E101" s="7" t="b">
        <f>IFERROR(__xludf.DUMMYFUNCTION("""COMPUTED_VALUE"""),TRUE)</f>
        <v>1</v>
      </c>
      <c r="G101" s="7" t="str">
        <f>IFERROR(__xludf.DUMMYFUNCTION("""COMPUTED_VALUE"""),"Quinine")</f>
        <v>Quinine</v>
      </c>
      <c r="H101" s="8">
        <f>IFERROR(__xludf.DUMMYFUNCTION("""COMPUTED_VALUE"""),0.0)</f>
        <v>0</v>
      </c>
      <c r="I101" s="8">
        <f>IFERROR(__xludf.DUMMYFUNCTION("""COMPUTED_VALUE"""),3.0)</f>
        <v>3</v>
      </c>
      <c r="J101" s="7" t="b">
        <f>IFERROR(__xludf.DUMMYFUNCTION("""COMPUTED_VALUE"""),FALSE)</f>
        <v>0</v>
      </c>
      <c r="K101" s="7" t="b">
        <f>IFERROR(__xludf.DUMMYFUNCTION("""COMPUTED_VALUE"""),FALSE)</f>
        <v>0</v>
      </c>
      <c r="M101" s="7" t="str">
        <f>IFERROR(__xludf.DUMMYFUNCTION("""COMPUTED_VALUE"""),"Trihexyphenidyl")</f>
        <v>Trihexyphenidyl</v>
      </c>
      <c r="N101" s="8">
        <f>IFERROR(__xludf.DUMMYFUNCTION("""COMPUTED_VALUE"""),2.0)</f>
        <v>2</v>
      </c>
      <c r="O101" s="8">
        <f>IFERROR(__xludf.DUMMYFUNCTION("""COMPUTED_VALUE"""),3.0)</f>
        <v>3</v>
      </c>
      <c r="P101" s="7" t="b">
        <f>IFERROR(__xludf.DUMMYFUNCTION("""COMPUTED_VALUE"""),FALSE)</f>
        <v>0</v>
      </c>
      <c r="Q101" s="7" t="b">
        <f>IFERROR(__xludf.DUMMYFUNCTION("""COMPUTED_VALUE"""),FALSE)</f>
        <v>0</v>
      </c>
      <c r="S101" s="7" t="s">
        <v>110</v>
      </c>
      <c r="T101" s="8">
        <f t="array" ref="T101">XLOOKUP(S101, MAPK8IP3, B3:B1000, XLOOKUP(S101, ZC4H2, H3:H1000, XLOOKUP(S101, SLC6A1, N3:N1000)))</f>
        <v>1</v>
      </c>
      <c r="U101" s="8">
        <f t="array" ref="U101">XLOOKUP(S101, MAPK8IP3, C3:C1000, XLOOKUP(S101, ZC4H2, I3:I1000, XLOOKUP(S101, SLC6A1, O3:O1000)))</f>
        <v>3</v>
      </c>
      <c r="V101" s="7" t="b">
        <f t="array" ref="V101">XLOOKUP(S101, MAPK8IP3, D3:D1000, XLOOKUP(S101, ZC4H2, J3:J1000, XLOOKUP(S101, SLC6A1, P3:P1000)))</f>
        <v>0</v>
      </c>
    </row>
    <row r="102">
      <c r="A102" s="7" t="str">
        <f>IFERROR(__xludf.DUMMYFUNCTION("""COMPUTED_VALUE"""),"Mepivacaine")</f>
        <v>Mepivacaine</v>
      </c>
      <c r="B102" s="8">
        <f>IFERROR(__xludf.DUMMYFUNCTION("""COMPUTED_VALUE"""),0.0)</f>
        <v>0</v>
      </c>
      <c r="C102" s="8">
        <f>IFERROR(__xludf.DUMMYFUNCTION("""COMPUTED_VALUE"""),3.0)</f>
        <v>3</v>
      </c>
      <c r="D102" s="7" t="b">
        <f>IFERROR(__xludf.DUMMYFUNCTION("""COMPUTED_VALUE"""),FALSE)</f>
        <v>0</v>
      </c>
      <c r="E102" s="7" t="b">
        <f>IFERROR(__xludf.DUMMYFUNCTION("""COMPUTED_VALUE"""),FALSE)</f>
        <v>0</v>
      </c>
      <c r="G102" s="7" t="str">
        <f>IFERROR(__xludf.DUMMYFUNCTION("""COMPUTED_VALUE"""),"Remifentanil")</f>
        <v>Remifentanil</v>
      </c>
      <c r="H102" s="8">
        <f>IFERROR(__xludf.DUMMYFUNCTION("""COMPUTED_VALUE"""),0.0)</f>
        <v>0</v>
      </c>
      <c r="I102" s="8">
        <f>IFERROR(__xludf.DUMMYFUNCTION("""COMPUTED_VALUE"""),3.0)</f>
        <v>3</v>
      </c>
      <c r="J102" s="7" t="b">
        <f>IFERROR(__xludf.DUMMYFUNCTION("""COMPUTED_VALUE"""),FALSE)</f>
        <v>0</v>
      </c>
      <c r="K102" s="7" t="b">
        <f>IFERROR(__xludf.DUMMYFUNCTION("""COMPUTED_VALUE"""),FALSE)</f>
        <v>0</v>
      </c>
      <c r="M102" s="7" t="str">
        <f>IFERROR(__xludf.DUMMYFUNCTION("""COMPUTED_VALUE"""),"Tropicamide")</f>
        <v>Tropicamide</v>
      </c>
      <c r="N102" s="8">
        <f>IFERROR(__xludf.DUMMYFUNCTION("""COMPUTED_VALUE"""),1.0)</f>
        <v>1</v>
      </c>
      <c r="O102" s="8">
        <f>IFERROR(__xludf.DUMMYFUNCTION("""COMPUTED_VALUE"""),3.0)</f>
        <v>3</v>
      </c>
      <c r="P102" s="7" t="b">
        <f>IFERROR(__xludf.DUMMYFUNCTION("""COMPUTED_VALUE"""),FALSE)</f>
        <v>0</v>
      </c>
      <c r="Q102" s="7" t="b">
        <f>IFERROR(__xludf.DUMMYFUNCTION("""COMPUTED_VALUE"""),FALSE)</f>
        <v>0</v>
      </c>
      <c r="S102" s="7" t="s">
        <v>111</v>
      </c>
      <c r="T102" s="8">
        <f t="array" ref="T102">XLOOKUP(S102, MAPK8IP3, B3:B1000, XLOOKUP(S102, ZC4H2, H3:H1000, XLOOKUP(S102, SLC6A1, N3:N1000)))</f>
        <v>0</v>
      </c>
      <c r="U102" s="8">
        <f t="array" ref="U102">XLOOKUP(S102, MAPK8IP3, C3:C1000, XLOOKUP(S102, ZC4H2, I3:I1000, XLOOKUP(S102, SLC6A1, O3:O1000)))</f>
        <v>3</v>
      </c>
      <c r="V102" s="7" t="b">
        <f t="array" ref="V102">XLOOKUP(S102, MAPK8IP3, D3:D1000, XLOOKUP(S102, ZC4H2, J3:J1000, XLOOKUP(S102, SLC6A1, P3:P1000)))</f>
        <v>0</v>
      </c>
    </row>
    <row r="103">
      <c r="A103" s="7" t="str">
        <f>IFERROR(__xludf.DUMMYFUNCTION("""COMPUTED_VALUE"""),"Misoprostol")</f>
        <v>Misoprostol</v>
      </c>
      <c r="B103" s="8">
        <f>IFERROR(__xludf.DUMMYFUNCTION("""COMPUTED_VALUE"""),0.0)</f>
        <v>0</v>
      </c>
      <c r="C103" s="8">
        <f>IFERROR(__xludf.DUMMYFUNCTION("""COMPUTED_VALUE"""),3.0)</f>
        <v>3</v>
      </c>
      <c r="D103" s="7" t="b">
        <f>IFERROR(__xludf.DUMMYFUNCTION("""COMPUTED_VALUE"""),FALSE)</f>
        <v>0</v>
      </c>
      <c r="E103" s="7" t="b">
        <f>IFERROR(__xludf.DUMMYFUNCTION("""COMPUTED_VALUE"""),FALSE)</f>
        <v>0</v>
      </c>
      <c r="G103" s="7" t="str">
        <f>IFERROR(__xludf.DUMMYFUNCTION("""COMPUTED_VALUE"""),"Ropivacaine")</f>
        <v>Ropivacaine</v>
      </c>
      <c r="H103" s="8">
        <f>IFERROR(__xludf.DUMMYFUNCTION("""COMPUTED_VALUE"""),0.0)</f>
        <v>0</v>
      </c>
      <c r="I103" s="8">
        <f>IFERROR(__xludf.DUMMYFUNCTION("""COMPUTED_VALUE"""),3.0)</f>
        <v>3</v>
      </c>
      <c r="J103" s="7" t="b">
        <f>IFERROR(__xludf.DUMMYFUNCTION("""COMPUTED_VALUE"""),FALSE)</f>
        <v>0</v>
      </c>
      <c r="K103" s="7" t="b">
        <f>IFERROR(__xludf.DUMMYFUNCTION("""COMPUTED_VALUE"""),FALSE)</f>
        <v>0</v>
      </c>
      <c r="M103" s="7" t="str">
        <f>IFERROR(__xludf.DUMMYFUNCTION("""COMPUTED_VALUE"""),"Vigabatrin")</f>
        <v>Vigabatrin</v>
      </c>
      <c r="N103" s="8">
        <f>IFERROR(__xludf.DUMMYFUNCTION("""COMPUTED_VALUE"""),0.0)</f>
        <v>0</v>
      </c>
      <c r="O103" s="8">
        <f>IFERROR(__xludf.DUMMYFUNCTION("""COMPUTED_VALUE"""),3.0)</f>
        <v>3</v>
      </c>
      <c r="P103" s="7" t="b">
        <f>IFERROR(__xludf.DUMMYFUNCTION("""COMPUTED_VALUE"""),FALSE)</f>
        <v>0</v>
      </c>
      <c r="Q103" s="7" t="b">
        <f>IFERROR(__xludf.DUMMYFUNCTION("""COMPUTED_VALUE"""),FALSE)</f>
        <v>0</v>
      </c>
      <c r="S103" s="7" t="s">
        <v>112</v>
      </c>
      <c r="T103" s="8">
        <f t="array" ref="T103">XLOOKUP(S103, MAPK8IP3, B3:B1000, XLOOKUP(S103, ZC4H2, H3:H1000, XLOOKUP(S103, SLC6A1, N3:N1000)))</f>
        <v>4</v>
      </c>
      <c r="U103" s="8">
        <f t="array" ref="U103">XLOOKUP(S103, MAPK8IP3, C3:C1000, XLOOKUP(S103, ZC4H2, I3:I1000, XLOOKUP(S103, SLC6A1, O3:O1000)))</f>
        <v>3</v>
      </c>
      <c r="V103" s="7" t="b">
        <f t="array" ref="V103">XLOOKUP(S103, MAPK8IP3, D3:D1000, XLOOKUP(S103, ZC4H2, J3:J1000, XLOOKUP(S103, SLC6A1, P3:P1000)))</f>
        <v>0</v>
      </c>
    </row>
    <row r="104">
      <c r="A104" s="7" t="str">
        <f>IFERROR(__xludf.DUMMYFUNCTION("""COMPUTED_VALUE"""),"Nalbuphine")</f>
        <v>Nalbuphine</v>
      </c>
      <c r="B104" s="8">
        <f>IFERROR(__xludf.DUMMYFUNCTION("""COMPUTED_VALUE"""),0.0)</f>
        <v>0</v>
      </c>
      <c r="C104" s="8">
        <f>IFERROR(__xludf.DUMMYFUNCTION("""COMPUTED_VALUE"""),3.0)</f>
        <v>3</v>
      </c>
      <c r="D104" s="7" t="b">
        <f>IFERROR(__xludf.DUMMYFUNCTION("""COMPUTED_VALUE"""),FALSE)</f>
        <v>0</v>
      </c>
      <c r="E104" s="7" t="b">
        <f>IFERROR(__xludf.DUMMYFUNCTION("""COMPUTED_VALUE"""),FALSE)</f>
        <v>0</v>
      </c>
      <c r="G104" s="7" t="str">
        <f>IFERROR(__xludf.DUMMYFUNCTION("""COMPUTED_VALUE"""),"Sevoflurane")</f>
        <v>Sevoflurane</v>
      </c>
      <c r="H104" s="8">
        <f>IFERROR(__xludf.DUMMYFUNCTION("""COMPUTED_VALUE"""),0.0)</f>
        <v>0</v>
      </c>
      <c r="I104" s="8">
        <f>IFERROR(__xludf.DUMMYFUNCTION("""COMPUTED_VALUE"""),3.0)</f>
        <v>3</v>
      </c>
      <c r="J104" s="7" t="b">
        <f>IFERROR(__xludf.DUMMYFUNCTION("""COMPUTED_VALUE"""),FALSE)</f>
        <v>0</v>
      </c>
      <c r="K104" s="7" t="b">
        <f>IFERROR(__xludf.DUMMYFUNCTION("""COMPUTED_VALUE"""),FALSE)</f>
        <v>0</v>
      </c>
      <c r="M104" s="7"/>
      <c r="N104" s="7"/>
      <c r="O104" s="7"/>
      <c r="P104" s="7"/>
      <c r="Q104" s="7"/>
      <c r="S104" s="7" t="s">
        <v>113</v>
      </c>
      <c r="T104" s="8">
        <f t="array" ref="T104">XLOOKUP(S104, MAPK8IP3, B3:B1000, XLOOKUP(S104, ZC4H2, H3:H1000, XLOOKUP(S104, SLC6A1, N3:N1000)))</f>
        <v>0</v>
      </c>
      <c r="U104" s="8">
        <f t="array" ref="U104">XLOOKUP(S104, MAPK8IP3, C3:C1000, XLOOKUP(S104, ZC4H2, I3:I1000, XLOOKUP(S104, SLC6A1, O3:O1000)))</f>
        <v>3</v>
      </c>
      <c r="V104" s="7" t="b">
        <f t="array" ref="V104">XLOOKUP(S104, MAPK8IP3, D3:D1000, XLOOKUP(S104, ZC4H2, J3:J1000, XLOOKUP(S104, SLC6A1, P3:P1000)))</f>
        <v>0</v>
      </c>
    </row>
    <row r="105">
      <c r="A105" s="7" t="str">
        <f>IFERROR(__xludf.DUMMYFUNCTION("""COMPUTED_VALUE"""),"Nitroglycerin")</f>
        <v>Nitroglycerin</v>
      </c>
      <c r="B105" s="8">
        <f>IFERROR(__xludf.DUMMYFUNCTION("""COMPUTED_VALUE"""),0.0)</f>
        <v>0</v>
      </c>
      <c r="C105" s="8">
        <f>IFERROR(__xludf.DUMMYFUNCTION("""COMPUTED_VALUE"""),3.0)</f>
        <v>3</v>
      </c>
      <c r="D105" s="7" t="b">
        <f>IFERROR(__xludf.DUMMYFUNCTION("""COMPUTED_VALUE"""),FALSE)</f>
        <v>0</v>
      </c>
      <c r="E105" s="7" t="b">
        <f>IFERROR(__xludf.DUMMYFUNCTION("""COMPUTED_VALUE"""),FALSE)</f>
        <v>0</v>
      </c>
      <c r="G105" s="7" t="str">
        <f>IFERROR(__xludf.DUMMYFUNCTION("""COMPUTED_VALUE"""),"Vigabatrin")</f>
        <v>Vigabatrin</v>
      </c>
      <c r="H105" s="8">
        <f>IFERROR(__xludf.DUMMYFUNCTION("""COMPUTED_VALUE"""),0.0)</f>
        <v>0</v>
      </c>
      <c r="I105" s="8">
        <f>IFERROR(__xludf.DUMMYFUNCTION("""COMPUTED_VALUE"""),3.0)</f>
        <v>3</v>
      </c>
      <c r="J105" s="7" t="b">
        <f>IFERROR(__xludf.DUMMYFUNCTION("""COMPUTED_VALUE"""),FALSE)</f>
        <v>0</v>
      </c>
      <c r="K105" s="7" t="b">
        <f>IFERROR(__xludf.DUMMYFUNCTION("""COMPUTED_VALUE"""),FALSE)</f>
        <v>0</v>
      </c>
      <c r="M105" s="7"/>
      <c r="N105" s="7"/>
      <c r="O105" s="7"/>
      <c r="P105" s="7"/>
      <c r="Q105" s="7"/>
      <c r="S105" s="7" t="s">
        <v>114</v>
      </c>
      <c r="T105" s="7">
        <f t="array" ref="T105">XLOOKUP(S105, MAPK8IP3, B3:B1000, XLOOKUP(S105, ZC4H2, H3:H1000, XLOOKUP(S105, SLC6A1, N3:N1000)))</f>
        <v>0</v>
      </c>
      <c r="U105" s="7">
        <f t="array" ref="U105">XLOOKUP(S105, MAPK8IP3, C3:C1000, XLOOKUP(S105, ZC4H2, I3:I1000, XLOOKUP(S105, SLC6A1, O3:O1000)))</f>
        <v>3</v>
      </c>
      <c r="V105" s="7" t="b">
        <f t="array" ref="V105">XLOOKUP(S105, MAPK8IP3, D3:D1000, XLOOKUP(S105, ZC4H2, J3:J1000, XLOOKUP(S105, SLC6A1, P3:P1000)))</f>
        <v>0</v>
      </c>
    </row>
    <row r="106">
      <c r="A106" s="7" t="str">
        <f>IFERROR(__xludf.DUMMYFUNCTION("""COMPUTED_VALUE"""),"Pentobarbital")</f>
        <v>Pentobarbital</v>
      </c>
      <c r="B106" s="8">
        <f>IFERROR(__xludf.DUMMYFUNCTION("""COMPUTED_VALUE"""),0.0)</f>
        <v>0</v>
      </c>
      <c r="C106" s="8">
        <f>IFERROR(__xludf.DUMMYFUNCTION("""COMPUTED_VALUE"""),3.0)</f>
        <v>3</v>
      </c>
      <c r="D106" s="7" t="b">
        <f>IFERROR(__xludf.DUMMYFUNCTION("""COMPUTED_VALUE"""),FALSE)</f>
        <v>0</v>
      </c>
      <c r="E106" s="7" t="b">
        <f>IFERROR(__xludf.DUMMYFUNCTION("""COMPUTED_VALUE"""),FALSE)</f>
        <v>0</v>
      </c>
      <c r="M106" s="7"/>
      <c r="N106" s="7"/>
      <c r="O106" s="7"/>
      <c r="P106" s="7"/>
      <c r="Q106" s="7"/>
      <c r="S106" s="7" t="s">
        <v>115</v>
      </c>
      <c r="T106" s="8">
        <f t="array" ref="T106">XLOOKUP(S106, MAPK8IP3, B3:B1000, XLOOKUP(S106, ZC4H2, H3:H1000, XLOOKUP(S106, SLC6A1, N3:N1000)))</f>
        <v>0</v>
      </c>
      <c r="U106" s="8">
        <f t="array" ref="U106">XLOOKUP(S106, MAPK8IP3, C3:C1000, XLOOKUP(S106, ZC4H2, I3:I1000, XLOOKUP(S106, SLC6A1, O3:O1000)))</f>
        <v>3</v>
      </c>
      <c r="V106" s="7" t="b">
        <f t="array" ref="V106">XLOOKUP(S106, MAPK8IP3, D3:D1000, XLOOKUP(S106, ZC4H2, J3:J1000, XLOOKUP(S106, SLC6A1, P3:P1000)))</f>
        <v>0</v>
      </c>
    </row>
    <row r="107">
      <c r="A107" s="7" t="str">
        <f>IFERROR(__xludf.DUMMYFUNCTION("""COMPUTED_VALUE"""),"Perphenazine")</f>
        <v>Perphenazine</v>
      </c>
      <c r="B107" s="8">
        <f>IFERROR(__xludf.DUMMYFUNCTION("""COMPUTED_VALUE"""),0.0)</f>
        <v>0</v>
      </c>
      <c r="C107" s="8">
        <f>IFERROR(__xludf.DUMMYFUNCTION("""COMPUTED_VALUE"""),3.0)</f>
        <v>3</v>
      </c>
      <c r="D107" s="7" t="b">
        <f>IFERROR(__xludf.DUMMYFUNCTION("""COMPUTED_VALUE"""),FALSE)</f>
        <v>0</v>
      </c>
      <c r="E107" s="7" t="b">
        <f>IFERROR(__xludf.DUMMYFUNCTION("""COMPUTED_VALUE"""),FALSE)</f>
        <v>0</v>
      </c>
      <c r="M107" s="7"/>
      <c r="N107" s="7"/>
      <c r="O107" s="7"/>
      <c r="P107" s="7"/>
      <c r="Q107" s="7"/>
      <c r="S107" s="7" t="s">
        <v>116</v>
      </c>
      <c r="T107" s="8">
        <f t="array" ref="T107">XLOOKUP(S107, MAPK8IP3, B3:B1000, XLOOKUP(S107, ZC4H2, H3:H1000, XLOOKUP(S107, SLC6A1, N3:N1000)))</f>
        <v>0</v>
      </c>
      <c r="U107" s="8">
        <f t="array" ref="U107">XLOOKUP(S107, MAPK8IP3, C3:C1000, XLOOKUP(S107, ZC4H2, I3:I1000, XLOOKUP(S107, SLC6A1, O3:O1000)))</f>
        <v>3</v>
      </c>
      <c r="V107" s="7" t="b">
        <f t="array" ref="V107">XLOOKUP(S107, MAPK8IP3, D3:D1000, XLOOKUP(S107, ZC4H2, J3:J1000, XLOOKUP(S107, SLC6A1, P3:P1000)))</f>
        <v>0</v>
      </c>
    </row>
    <row r="108">
      <c r="A108" s="7" t="str">
        <f>IFERROR(__xludf.DUMMYFUNCTION("""COMPUTED_VALUE"""),"Phentolamine")</f>
        <v>Phentolamine</v>
      </c>
      <c r="B108" s="8">
        <f>IFERROR(__xludf.DUMMYFUNCTION("""COMPUTED_VALUE"""),0.0)</f>
        <v>0</v>
      </c>
      <c r="C108" s="8">
        <f>IFERROR(__xludf.DUMMYFUNCTION("""COMPUTED_VALUE"""),3.0)</f>
        <v>3</v>
      </c>
      <c r="D108" s="7" t="b">
        <f>IFERROR(__xludf.DUMMYFUNCTION("""COMPUTED_VALUE"""),FALSE)</f>
        <v>0</v>
      </c>
      <c r="E108" s="7" t="b">
        <f>IFERROR(__xludf.DUMMYFUNCTION("""COMPUTED_VALUE"""),FALSE)</f>
        <v>0</v>
      </c>
      <c r="M108" s="7"/>
      <c r="N108" s="7"/>
      <c r="O108" s="7"/>
      <c r="P108" s="7"/>
      <c r="Q108" s="7"/>
      <c r="S108" s="7" t="s">
        <v>117</v>
      </c>
      <c r="T108" s="7">
        <f t="array" ref="T108">XLOOKUP(S108, MAPK8IP3, B3:B1000, XLOOKUP(S108, ZC4H2, H3:H1000, XLOOKUP(S108, SLC6A1, N3:N1000)))</f>
        <v>6</v>
      </c>
      <c r="U108" s="7">
        <f t="array" ref="U108">XLOOKUP(S108, MAPK8IP3, C3:C1000, XLOOKUP(S108, ZC4H2, I3:I1000, XLOOKUP(S108, SLC6A1, O3:O1000)))</f>
        <v>3</v>
      </c>
      <c r="V108" s="7" t="b">
        <f t="array" ref="V108">XLOOKUP(S108, MAPK8IP3, D3:D1000, XLOOKUP(S108, ZC4H2, J3:J1000, XLOOKUP(S108, SLC6A1, P3:P1000)))</f>
        <v>0</v>
      </c>
    </row>
    <row r="109">
      <c r="A109" s="7" t="str">
        <f>IFERROR(__xludf.DUMMYFUNCTION("""COMPUTED_VALUE"""),"Pilocarpine")</f>
        <v>Pilocarpine</v>
      </c>
      <c r="B109" s="8">
        <f>IFERROR(__xludf.DUMMYFUNCTION("""COMPUTED_VALUE"""),0.0)</f>
        <v>0</v>
      </c>
      <c r="C109" s="8">
        <f>IFERROR(__xludf.DUMMYFUNCTION("""COMPUTED_VALUE"""),3.0)</f>
        <v>3</v>
      </c>
      <c r="D109" s="7" t="b">
        <f>IFERROR(__xludf.DUMMYFUNCTION("""COMPUTED_VALUE"""),FALSE)</f>
        <v>0</v>
      </c>
      <c r="E109" s="7" t="b">
        <f>IFERROR(__xludf.DUMMYFUNCTION("""COMPUTED_VALUE"""),FALSE)</f>
        <v>0</v>
      </c>
      <c r="M109" s="7"/>
      <c r="N109" s="7"/>
      <c r="O109" s="7"/>
      <c r="P109" s="7"/>
      <c r="Q109" s="7"/>
      <c r="S109" s="7" t="s">
        <v>118</v>
      </c>
      <c r="T109" s="8">
        <f t="array" ref="T109">XLOOKUP(S109, MAPK8IP3, B3:B1000, XLOOKUP(S109, ZC4H2, H3:H1000, XLOOKUP(S109, SLC6A1, N3:N1000)))</f>
        <v>1</v>
      </c>
      <c r="U109" s="8">
        <f t="array" ref="U109">XLOOKUP(S109, MAPK8IP3, C3:C1000, XLOOKUP(S109, ZC4H2, I3:I1000, XLOOKUP(S109, SLC6A1, O3:O1000)))</f>
        <v>3</v>
      </c>
      <c r="V109" s="7" t="b">
        <f t="array" ref="V109">XLOOKUP(S109, MAPK8IP3, D3:D1000, XLOOKUP(S109, ZC4H2, J3:J1000, XLOOKUP(S109, SLC6A1, P3:P1000)))</f>
        <v>0</v>
      </c>
    </row>
    <row r="110">
      <c r="A110" s="7" t="str">
        <f>IFERROR(__xludf.DUMMYFUNCTION("""COMPUTED_VALUE"""),"Propofol")</f>
        <v>Propofol</v>
      </c>
      <c r="B110" s="8">
        <f>IFERROR(__xludf.DUMMYFUNCTION("""COMPUTED_VALUE"""),0.0)</f>
        <v>0</v>
      </c>
      <c r="C110" s="8">
        <f>IFERROR(__xludf.DUMMYFUNCTION("""COMPUTED_VALUE"""),3.0)</f>
        <v>3</v>
      </c>
      <c r="D110" s="7" t="b">
        <f>IFERROR(__xludf.DUMMYFUNCTION("""COMPUTED_VALUE"""),FALSE)</f>
        <v>0</v>
      </c>
      <c r="E110" s="7" t="b">
        <f>IFERROR(__xludf.DUMMYFUNCTION("""COMPUTED_VALUE"""),FALSE)</f>
        <v>0</v>
      </c>
      <c r="M110" s="7"/>
      <c r="N110" s="7"/>
      <c r="O110" s="7"/>
      <c r="P110" s="7"/>
      <c r="Q110" s="7"/>
      <c r="S110" s="7" t="s">
        <v>119</v>
      </c>
      <c r="T110" s="8">
        <f t="array" ref="T110">XLOOKUP(S110, MAPK8IP3, B3:B1000, XLOOKUP(S110, ZC4H2, H3:H1000, XLOOKUP(S110, SLC6A1, N3:N1000)))</f>
        <v>4</v>
      </c>
      <c r="U110" s="8">
        <f t="array" ref="U110">XLOOKUP(S110, MAPK8IP3, C3:C1000, XLOOKUP(S110, ZC4H2, I3:I1000, XLOOKUP(S110, SLC6A1, O3:O1000)))</f>
        <v>3</v>
      </c>
      <c r="V110" s="7" t="b">
        <f t="array" ref="V110">XLOOKUP(S110, MAPK8IP3, D3:D1000, XLOOKUP(S110, ZC4H2, J3:J1000, XLOOKUP(S110, SLC6A1, P3:P1000)))</f>
        <v>0</v>
      </c>
    </row>
    <row r="111">
      <c r="A111" s="7" t="str">
        <f>IFERROR(__xludf.DUMMYFUNCTION("""COMPUTED_VALUE"""),"Quinine")</f>
        <v>Quinine</v>
      </c>
      <c r="B111" s="8">
        <f>IFERROR(__xludf.DUMMYFUNCTION("""COMPUTED_VALUE"""),0.0)</f>
        <v>0</v>
      </c>
      <c r="C111" s="8">
        <f>IFERROR(__xludf.DUMMYFUNCTION("""COMPUTED_VALUE"""),3.0)</f>
        <v>3</v>
      </c>
      <c r="D111" s="7" t="b">
        <f>IFERROR(__xludf.DUMMYFUNCTION("""COMPUTED_VALUE"""),FALSE)</f>
        <v>0</v>
      </c>
      <c r="E111" s="7" t="b">
        <f>IFERROR(__xludf.DUMMYFUNCTION("""COMPUTED_VALUE"""),FALSE)</f>
        <v>0</v>
      </c>
      <c r="M111" s="7"/>
      <c r="N111" s="7"/>
      <c r="O111" s="7"/>
      <c r="P111" s="7"/>
      <c r="Q111" s="7"/>
      <c r="S111" s="7" t="s">
        <v>120</v>
      </c>
      <c r="T111" s="7">
        <f t="array" ref="T111">XLOOKUP(S111, MAPK8IP3, B3:B1000, XLOOKUP(S111, ZC4H2, H3:H1000, XLOOKUP(S111, SLC6A1, N3:N1000)))</f>
        <v>0</v>
      </c>
      <c r="U111" s="7">
        <f t="array" ref="U111">XLOOKUP(S111, MAPK8IP3, C3:C1000, XLOOKUP(S111, ZC4H2, I3:I1000, XLOOKUP(S111, SLC6A1, O3:O1000)))</f>
        <v>3</v>
      </c>
      <c r="V111" s="7" t="b">
        <f t="array" ref="V111">XLOOKUP(S111, MAPK8IP3, D3:D1000, XLOOKUP(S111, ZC4H2, J3:J1000, XLOOKUP(S111, SLC6A1, P3:P1000)))</f>
        <v>0</v>
      </c>
    </row>
    <row r="112">
      <c r="A112" s="7" t="str">
        <f>IFERROR(__xludf.DUMMYFUNCTION("""COMPUTED_VALUE"""),"Remifentanil")</f>
        <v>Remifentanil</v>
      </c>
      <c r="B112" s="8">
        <f>IFERROR(__xludf.DUMMYFUNCTION("""COMPUTED_VALUE"""),0.0)</f>
        <v>0</v>
      </c>
      <c r="C112" s="8">
        <f>IFERROR(__xludf.DUMMYFUNCTION("""COMPUTED_VALUE"""),3.0)</f>
        <v>3</v>
      </c>
      <c r="D112" s="7" t="b">
        <f>IFERROR(__xludf.DUMMYFUNCTION("""COMPUTED_VALUE"""),FALSE)</f>
        <v>0</v>
      </c>
      <c r="E112" s="7" t="b">
        <f>IFERROR(__xludf.DUMMYFUNCTION("""COMPUTED_VALUE"""),FALSE)</f>
        <v>0</v>
      </c>
      <c r="M112" s="7"/>
      <c r="N112" s="7"/>
      <c r="O112" s="7"/>
      <c r="P112" s="7"/>
      <c r="Q112" s="7"/>
      <c r="S112" s="7" t="s">
        <v>121</v>
      </c>
      <c r="T112" s="7">
        <f t="array" ref="T112">XLOOKUP(S112, MAPK8IP3, B3:B1000, XLOOKUP(S112, ZC4H2, H3:H1000, XLOOKUP(S112, SLC6A1, N3:N1000)))</f>
        <v>0</v>
      </c>
      <c r="U112" s="7">
        <f t="array" ref="U112">XLOOKUP(S112, MAPK8IP3, C3:C1000, XLOOKUP(S112, ZC4H2, I3:I1000, XLOOKUP(S112, SLC6A1, O3:O1000)))</f>
        <v>3</v>
      </c>
      <c r="V112" s="7" t="b">
        <f t="array" ref="V112">XLOOKUP(S112, MAPK8IP3, D3:D1000, XLOOKUP(S112, ZC4H2, J3:J1000, XLOOKUP(S112, SLC6A1, P3:P1000)))</f>
        <v>0</v>
      </c>
    </row>
    <row r="113">
      <c r="A113" s="7" t="str">
        <f>IFERROR(__xludf.DUMMYFUNCTION("""COMPUTED_VALUE"""),"Ropivacaine")</f>
        <v>Ropivacaine</v>
      </c>
      <c r="B113" s="8">
        <f>IFERROR(__xludf.DUMMYFUNCTION("""COMPUTED_VALUE"""),0.0)</f>
        <v>0</v>
      </c>
      <c r="C113" s="8">
        <f>IFERROR(__xludf.DUMMYFUNCTION("""COMPUTED_VALUE"""),3.0)</f>
        <v>3</v>
      </c>
      <c r="D113" s="7" t="b">
        <f>IFERROR(__xludf.DUMMYFUNCTION("""COMPUTED_VALUE"""),FALSE)</f>
        <v>0</v>
      </c>
      <c r="E113" s="7" t="b">
        <f>IFERROR(__xludf.DUMMYFUNCTION("""COMPUTED_VALUE"""),FALSE)</f>
        <v>0</v>
      </c>
      <c r="M113" s="7"/>
      <c r="N113" s="7"/>
      <c r="O113" s="7"/>
      <c r="P113" s="7"/>
      <c r="Q113" s="7"/>
      <c r="S113" s="7" t="s">
        <v>122</v>
      </c>
      <c r="T113" s="8">
        <f t="array" ref="T113">XLOOKUP(S113, MAPK8IP3, B3:B1000, XLOOKUP(S113, ZC4H2, H3:H1000, XLOOKUP(S113, SLC6A1, N3:N1000)))</f>
        <v>2</v>
      </c>
      <c r="U113" s="8">
        <f t="array" ref="U113">XLOOKUP(S113, MAPK8IP3, C3:C1000, XLOOKUP(S113, ZC4H2, I3:I1000, XLOOKUP(S113, SLC6A1, O3:O1000)))</f>
        <v>3</v>
      </c>
      <c r="V113" s="7" t="b">
        <f t="array" ref="V113">XLOOKUP(S113, MAPK8IP3, D3:D1000, XLOOKUP(S113, ZC4H2, J3:J1000, XLOOKUP(S113, SLC6A1, P3:P1000)))</f>
        <v>0</v>
      </c>
    </row>
    <row r="114">
      <c r="A114" s="7" t="str">
        <f>IFERROR(__xludf.DUMMYFUNCTION("""COMPUTED_VALUE"""),"Sevoflurane")</f>
        <v>Sevoflurane</v>
      </c>
      <c r="B114" s="8">
        <f>IFERROR(__xludf.DUMMYFUNCTION("""COMPUTED_VALUE"""),0.0)</f>
        <v>0</v>
      </c>
      <c r="C114" s="8">
        <f>IFERROR(__xludf.DUMMYFUNCTION("""COMPUTED_VALUE"""),3.0)</f>
        <v>3</v>
      </c>
      <c r="D114" s="7" t="b">
        <f>IFERROR(__xludf.DUMMYFUNCTION("""COMPUTED_VALUE"""),FALSE)</f>
        <v>0</v>
      </c>
      <c r="E114" s="7" t="b">
        <f>IFERROR(__xludf.DUMMYFUNCTION("""COMPUTED_VALUE"""),FALSE)</f>
        <v>0</v>
      </c>
      <c r="M114" s="7"/>
      <c r="N114" s="7"/>
      <c r="O114" s="7"/>
      <c r="P114" s="7"/>
      <c r="Q114" s="7"/>
      <c r="S114" s="7" t="s">
        <v>123</v>
      </c>
      <c r="T114" s="7">
        <f t="array" ref="T114">XLOOKUP(S114, MAPK8IP3, B3:B1000, XLOOKUP(S114, ZC4H2, H3:H1000, XLOOKUP(S114, SLC6A1, N3:N1000)))</f>
        <v>0</v>
      </c>
      <c r="U114" s="7">
        <f t="array" ref="U114">XLOOKUP(S114, MAPK8IP3, C3:C1000, XLOOKUP(S114, ZC4H2, I3:I1000, XLOOKUP(S114, SLC6A1, O3:O1000)))</f>
        <v>3</v>
      </c>
      <c r="V114" s="7" t="b">
        <f t="array" ref="V114">XLOOKUP(S114, MAPK8IP3, D3:D1000, XLOOKUP(S114, ZC4H2, J3:J1000, XLOOKUP(S114, SLC6A1, P3:P1000)))</f>
        <v>0</v>
      </c>
    </row>
    <row r="115">
      <c r="A115" s="7" t="str">
        <f>IFERROR(__xludf.DUMMYFUNCTION("""COMPUTED_VALUE"""),"Vigabatrin")</f>
        <v>Vigabatrin</v>
      </c>
      <c r="B115" s="8">
        <f>IFERROR(__xludf.DUMMYFUNCTION("""COMPUTED_VALUE"""),0.0)</f>
        <v>0</v>
      </c>
      <c r="C115" s="8">
        <f>IFERROR(__xludf.DUMMYFUNCTION("""COMPUTED_VALUE"""),3.0)</f>
        <v>3</v>
      </c>
      <c r="D115" s="7" t="b">
        <f>IFERROR(__xludf.DUMMYFUNCTION("""COMPUTED_VALUE"""),FALSE)</f>
        <v>0</v>
      </c>
      <c r="E115" s="7" t="b">
        <f>IFERROR(__xludf.DUMMYFUNCTION("""COMPUTED_VALUE"""),FALSE)</f>
        <v>0</v>
      </c>
      <c r="M115" s="7"/>
      <c r="N115" s="7"/>
      <c r="O115" s="7"/>
      <c r="P115" s="7"/>
      <c r="Q115" s="7"/>
      <c r="S115" s="7" t="s">
        <v>124</v>
      </c>
      <c r="T115" s="8">
        <f t="array" ref="T115">XLOOKUP(S115, MAPK8IP3, B3:B1000, XLOOKUP(S115, ZC4H2, H3:H1000, XLOOKUP(S115, SLC6A1, N3:N1000)))</f>
        <v>2</v>
      </c>
      <c r="U115" s="8">
        <f t="array" ref="U115">XLOOKUP(S115, MAPK8IP3, C3:C1000, XLOOKUP(S115, ZC4H2, I3:I1000, XLOOKUP(S115, SLC6A1, O3:O1000)))</f>
        <v>3</v>
      </c>
      <c r="V115" s="7" t="b">
        <f t="array" ref="V115">XLOOKUP(S115, MAPK8IP3, D3:D1000, XLOOKUP(S115, ZC4H2, J3:J1000, XLOOKUP(S115, SLC6A1, P3:P1000)))</f>
        <v>0</v>
      </c>
    </row>
    <row r="116">
      <c r="A116" s="7" t="str">
        <f>IFERROR(__xludf.DUMMYFUNCTION("""COMPUTED_VALUE"""),"Daprodustat")</f>
        <v>Daprodustat</v>
      </c>
      <c r="B116" s="8">
        <f>IFERROR(__xludf.DUMMYFUNCTION("""COMPUTED_VALUE"""),-1.0)</f>
        <v>-1</v>
      </c>
      <c r="C116" s="8">
        <f>IFERROR(__xludf.DUMMYFUNCTION("""COMPUTED_VALUE"""),1.0)</f>
        <v>1</v>
      </c>
      <c r="D116" s="7" t="b">
        <f>IFERROR(__xludf.DUMMYFUNCTION("""COMPUTED_VALUE"""),TRUE)</f>
        <v>1</v>
      </c>
      <c r="E116" s="7" t="b">
        <f>IFERROR(__xludf.DUMMYFUNCTION("""COMPUTED_VALUE"""),TRUE)</f>
        <v>1</v>
      </c>
      <c r="M116" s="7"/>
      <c r="N116" s="7"/>
      <c r="O116" s="7"/>
      <c r="P116" s="7"/>
      <c r="Q116" s="7"/>
      <c r="S116" s="7" t="s">
        <v>125</v>
      </c>
      <c r="T116" s="8">
        <f t="array" ref="T116">XLOOKUP(S116, MAPK8IP3, B3:B1000, XLOOKUP(S116, ZC4H2, H3:H1000, XLOOKUP(S116, SLC6A1, N3:N1000)))</f>
        <v>0</v>
      </c>
      <c r="U116" s="8">
        <f t="array" ref="U116">XLOOKUP(S116, MAPK8IP3, C3:C1000, XLOOKUP(S116, ZC4H2, I3:I1000, XLOOKUP(S116, SLC6A1, O3:O1000)))</f>
        <v>3</v>
      </c>
      <c r="V116" s="7" t="b">
        <f t="array" ref="V116">XLOOKUP(S116, MAPK8IP3, D3:D1000, XLOOKUP(S116, ZC4H2, J3:J1000, XLOOKUP(S116, SLC6A1, P3:P1000)))</f>
        <v>0</v>
      </c>
    </row>
    <row r="117">
      <c r="A117" s="7" t="str">
        <f>IFERROR(__xludf.DUMMYFUNCTION("""COMPUTED_VALUE"""),"Oxindole")</f>
        <v>Oxindole</v>
      </c>
      <c r="B117" s="8">
        <f>IFERROR(__xludf.DUMMYFUNCTION("""COMPUTED_VALUE"""),-2.0)</f>
        <v>-2</v>
      </c>
      <c r="C117" s="8">
        <f>IFERROR(__xludf.DUMMYFUNCTION("""COMPUTED_VALUE"""),1.0)</f>
        <v>1</v>
      </c>
      <c r="D117" s="7" t="b">
        <f>IFERROR(__xludf.DUMMYFUNCTION("""COMPUTED_VALUE"""),TRUE)</f>
        <v>1</v>
      </c>
      <c r="E117" s="7" t="b">
        <f>IFERROR(__xludf.DUMMYFUNCTION("""COMPUTED_VALUE"""),TRUE)</f>
        <v>1</v>
      </c>
      <c r="M117" s="7"/>
      <c r="N117" s="7"/>
      <c r="O117" s="7"/>
      <c r="P117" s="7"/>
      <c r="Q117" s="7"/>
      <c r="S117" s="7" t="s">
        <v>126</v>
      </c>
      <c r="T117" s="8">
        <f t="array" ref="T117">XLOOKUP(S117, MAPK8IP3, B3:B1000, XLOOKUP(S117, ZC4H2, H3:H1000, XLOOKUP(S117, SLC6A1, N3:N1000)))</f>
        <v>6</v>
      </c>
      <c r="U117" s="8">
        <f t="array" ref="U117">XLOOKUP(S117, MAPK8IP3, C3:C1000, XLOOKUP(S117, ZC4H2, I3:I1000, XLOOKUP(S117, SLC6A1, O3:O1000)))</f>
        <v>3</v>
      </c>
      <c r="V117" s="7" t="b">
        <f t="array" ref="V117">XLOOKUP(S117, MAPK8IP3, D3:D1000, XLOOKUP(S117, ZC4H2, J3:J1000, XLOOKUP(S117, SLC6A1, P3:P1000)))</f>
        <v>0</v>
      </c>
    </row>
    <row r="118">
      <c r="A118" s="7"/>
      <c r="B118" s="7"/>
      <c r="C118" s="7"/>
      <c r="D118" s="7"/>
      <c r="E118" s="7"/>
      <c r="M118" s="7"/>
      <c r="N118" s="7"/>
      <c r="O118" s="7"/>
      <c r="P118" s="7"/>
      <c r="Q118" s="7"/>
      <c r="S118" s="7" t="s">
        <v>127</v>
      </c>
      <c r="T118" s="8">
        <f t="array" ref="T118">XLOOKUP(S118, MAPK8IP3, B3:B1000, XLOOKUP(S118, ZC4H2, H3:H1000, XLOOKUP(S118, SLC6A1, N3:N1000)))</f>
        <v>3</v>
      </c>
      <c r="U118" s="8">
        <f t="array" ref="U118">XLOOKUP(S118, MAPK8IP3, C3:C1000, XLOOKUP(S118, ZC4H2, I3:I1000, XLOOKUP(S118, SLC6A1, O3:O1000)))</f>
        <v>3</v>
      </c>
      <c r="V118" s="7" t="b">
        <f t="array" ref="V118">XLOOKUP(S118, MAPK8IP3, D3:D1000, XLOOKUP(S118, ZC4H2, J3:J1000, XLOOKUP(S118, SLC6A1, P3:P1000)))</f>
        <v>0</v>
      </c>
    </row>
    <row r="119">
      <c r="A119" s="7"/>
      <c r="B119" s="7"/>
      <c r="C119" s="7"/>
      <c r="D119" s="7"/>
      <c r="E119" s="7"/>
      <c r="M119" s="7"/>
      <c r="N119" s="7"/>
      <c r="O119" s="7"/>
      <c r="P119" s="7"/>
      <c r="Q119" s="7"/>
      <c r="S119" s="7" t="s">
        <v>128</v>
      </c>
      <c r="T119" s="8">
        <f t="array" ref="T119">XLOOKUP(S119, MAPK8IP3, B3:B1000, XLOOKUP(S119, ZC4H2, H3:H1000, XLOOKUP(S119, SLC6A1, N3:N1000)))</f>
        <v>2</v>
      </c>
      <c r="U119" s="8">
        <f t="array" ref="U119">XLOOKUP(S119, MAPK8IP3, C3:C1000, XLOOKUP(S119, ZC4H2, I3:I1000, XLOOKUP(S119, SLC6A1, O3:O1000)))</f>
        <v>3</v>
      </c>
      <c r="V119" s="7" t="b">
        <f t="array" ref="V119">XLOOKUP(S119, MAPK8IP3, D3:D1000, XLOOKUP(S119, ZC4H2, J3:J1000, XLOOKUP(S119, SLC6A1, P3:P1000)))</f>
        <v>0</v>
      </c>
    </row>
    <row r="120">
      <c r="A120" s="7"/>
      <c r="B120" s="7"/>
      <c r="C120" s="7"/>
      <c r="D120" s="7"/>
      <c r="E120" s="7"/>
      <c r="M120" s="7"/>
      <c r="N120" s="7"/>
      <c r="O120" s="7"/>
      <c r="P120" s="7"/>
      <c r="Q120" s="7"/>
      <c r="S120" s="7" t="s">
        <v>129</v>
      </c>
      <c r="T120" s="8">
        <f t="array" ref="T120">XLOOKUP(S120, MAPK8IP3, B3:B1000, XLOOKUP(S120, ZC4H2, H3:H1000, XLOOKUP(S120, SLC6A1, N3:N1000)))</f>
        <v>6</v>
      </c>
      <c r="U120" s="8">
        <f t="array" ref="U120">XLOOKUP(S120, MAPK8IP3, C3:C1000, XLOOKUP(S120, ZC4H2, I3:I1000, XLOOKUP(S120, SLC6A1, O3:O1000)))</f>
        <v>3</v>
      </c>
      <c r="V120" s="7" t="b">
        <f t="array" ref="V120">XLOOKUP(S120, MAPK8IP3, D3:D1000, XLOOKUP(S120, ZC4H2, J3:J1000, XLOOKUP(S120, SLC6A1, P3:P1000)))</f>
        <v>0</v>
      </c>
    </row>
    <row r="121">
      <c r="A121" s="7"/>
      <c r="B121" s="7"/>
      <c r="C121" s="7"/>
      <c r="D121" s="7"/>
      <c r="E121" s="7"/>
      <c r="M121" s="7"/>
      <c r="N121" s="7"/>
      <c r="O121" s="7"/>
      <c r="P121" s="7"/>
      <c r="Q121" s="7"/>
      <c r="S121" s="7" t="s">
        <v>130</v>
      </c>
      <c r="T121" s="8">
        <f t="array" ref="T121">XLOOKUP(S121, MAPK8IP3, B3:B1000, XLOOKUP(S121, ZC4H2, H3:H1000, XLOOKUP(S121, SLC6A1, N3:N1000)))</f>
        <v>0</v>
      </c>
      <c r="U121" s="8">
        <f t="array" ref="U121">XLOOKUP(S121, MAPK8IP3, C3:C1000, XLOOKUP(S121, ZC4H2, I3:I1000, XLOOKUP(S121, SLC6A1, O3:O1000)))</f>
        <v>3</v>
      </c>
      <c r="V121" s="7" t="b">
        <f t="array" ref="V121">XLOOKUP(S121, MAPK8IP3, D3:D1000, XLOOKUP(S121, ZC4H2, J3:J1000, XLOOKUP(S121, SLC6A1, P3:P1000)))</f>
        <v>0</v>
      </c>
    </row>
    <row r="122">
      <c r="A122" s="7"/>
      <c r="B122" s="7"/>
      <c r="C122" s="7"/>
      <c r="D122" s="7"/>
      <c r="E122" s="7"/>
      <c r="M122" s="7"/>
      <c r="N122" s="7"/>
      <c r="O122" s="7"/>
      <c r="P122" s="7"/>
      <c r="Q122" s="7"/>
      <c r="S122" s="7" t="s">
        <v>131</v>
      </c>
      <c r="T122" s="8">
        <f t="array" ref="T122">XLOOKUP(S122, MAPK8IP3, B3:B1000, XLOOKUP(S122, ZC4H2, H3:H1000, XLOOKUP(S122, SLC6A1, N3:N1000)))</f>
        <v>0</v>
      </c>
      <c r="U122" s="8">
        <f t="array" ref="U122">XLOOKUP(S122, MAPK8IP3, C3:C1000, XLOOKUP(S122, ZC4H2, I3:I1000, XLOOKUP(S122, SLC6A1, O3:O1000)))</f>
        <v>3</v>
      </c>
      <c r="V122" s="7" t="b">
        <f t="array" ref="V122">XLOOKUP(S122, MAPK8IP3, D3:D1000, XLOOKUP(S122, ZC4H2, J3:J1000, XLOOKUP(S122, SLC6A1, P3:P1000)))</f>
        <v>0</v>
      </c>
    </row>
    <row r="123">
      <c r="A123" s="7"/>
      <c r="B123" s="7"/>
      <c r="C123" s="7"/>
      <c r="D123" s="7"/>
      <c r="E123" s="7"/>
      <c r="M123" s="7"/>
      <c r="N123" s="7"/>
      <c r="O123" s="7"/>
      <c r="P123" s="7"/>
      <c r="Q123" s="7"/>
      <c r="S123" s="7" t="s">
        <v>132</v>
      </c>
      <c r="T123" s="8">
        <f t="array" ref="T123">XLOOKUP(S123, MAPK8IP3, B3:B1000, XLOOKUP(S123, ZC4H2, H3:H1000, XLOOKUP(S123, SLC6A1, N3:N1000)))</f>
        <v>2</v>
      </c>
      <c r="U123" s="8">
        <f t="array" ref="U123">XLOOKUP(S123, MAPK8IP3, C3:C1000, XLOOKUP(S123, ZC4H2, I3:I1000, XLOOKUP(S123, SLC6A1, O3:O1000)))</f>
        <v>3</v>
      </c>
      <c r="V123" s="7" t="b">
        <f t="array" ref="V123">XLOOKUP(S123, MAPK8IP3, D3:D1000, XLOOKUP(S123, ZC4H2, J3:J1000, XLOOKUP(S123, SLC6A1, P3:P1000)))</f>
        <v>1</v>
      </c>
    </row>
    <row r="124">
      <c r="A124" s="7"/>
      <c r="B124" s="7"/>
      <c r="C124" s="7"/>
      <c r="D124" s="7"/>
      <c r="E124" s="7"/>
      <c r="M124" s="7"/>
      <c r="N124" s="7"/>
      <c r="O124" s="7"/>
      <c r="P124" s="7"/>
      <c r="Q124" s="7"/>
      <c r="S124" s="7" t="s">
        <v>133</v>
      </c>
      <c r="T124" s="8">
        <f t="array" ref="T124">XLOOKUP(S124, MAPK8IP3, B3:B1000, XLOOKUP(S124, ZC4H2, H3:H1000, XLOOKUP(S124, SLC6A1, N3:N1000)))</f>
        <v>0</v>
      </c>
      <c r="U124" s="8">
        <f t="array" ref="U124">XLOOKUP(S124, MAPK8IP3, C3:C1000, XLOOKUP(S124, ZC4H2, I3:I1000, XLOOKUP(S124, SLC6A1, O3:O1000)))</f>
        <v>3</v>
      </c>
      <c r="V124" s="7" t="b">
        <f t="array" ref="V124">XLOOKUP(S124, MAPK8IP3, D3:D1000, XLOOKUP(S124, ZC4H2, J3:J1000, XLOOKUP(S124, SLC6A1, P3:P1000)))</f>
        <v>0</v>
      </c>
    </row>
    <row r="125">
      <c r="A125" s="7"/>
      <c r="B125" s="7"/>
      <c r="C125" s="7"/>
      <c r="D125" s="7"/>
      <c r="E125" s="7"/>
      <c r="M125" s="7"/>
      <c r="N125" s="7"/>
      <c r="O125" s="7"/>
      <c r="P125" s="7"/>
      <c r="Q125" s="7"/>
      <c r="S125" s="7" t="s">
        <v>134</v>
      </c>
      <c r="T125" s="8">
        <f t="array" ref="T125">XLOOKUP(S125, MAPK8IP3, B3:B1000, XLOOKUP(S125, ZC4H2, H3:H1000, XLOOKUP(S125, SLC6A1, N3:N1000)))</f>
        <v>6</v>
      </c>
      <c r="U125" s="8">
        <f t="array" ref="U125">XLOOKUP(S125, MAPK8IP3, C3:C1000, XLOOKUP(S125, ZC4H2, I3:I1000, XLOOKUP(S125, SLC6A1, O3:O1000)))</f>
        <v>3</v>
      </c>
      <c r="V125" s="7" t="b">
        <f t="array" ref="V125">XLOOKUP(S125, MAPK8IP3, D3:D1000, XLOOKUP(S125, ZC4H2, J3:J1000, XLOOKUP(S125, SLC6A1, P3:P1000)))</f>
        <v>1</v>
      </c>
    </row>
    <row r="126">
      <c r="A126" s="7"/>
      <c r="B126" s="7"/>
      <c r="C126" s="7"/>
      <c r="D126" s="7"/>
      <c r="E126" s="7"/>
      <c r="M126" s="7"/>
      <c r="N126" s="7"/>
      <c r="O126" s="7"/>
      <c r="P126" s="7"/>
      <c r="Q126" s="7"/>
      <c r="S126" s="7" t="s">
        <v>135</v>
      </c>
      <c r="T126" s="8">
        <f t="array" ref="T126">XLOOKUP(S126, MAPK8IP3, B3:B1000, XLOOKUP(S126, ZC4H2, H3:H1000, XLOOKUP(S126, SLC6A1, N3:N1000)))</f>
        <v>0</v>
      </c>
      <c r="U126" s="8">
        <f t="array" ref="U126">XLOOKUP(S126, MAPK8IP3, C3:C1000, XLOOKUP(S126, ZC4H2, I3:I1000, XLOOKUP(S126, SLC6A1, O3:O1000)))</f>
        <v>3</v>
      </c>
      <c r="V126" s="7" t="b">
        <f t="array" ref="V126">XLOOKUP(S126, MAPK8IP3, D3:D1000, XLOOKUP(S126, ZC4H2, J3:J1000, XLOOKUP(S126, SLC6A1, P3:P1000)))</f>
        <v>0</v>
      </c>
    </row>
    <row r="127">
      <c r="A127" s="7"/>
      <c r="B127" s="7"/>
      <c r="C127" s="7"/>
      <c r="D127" s="7"/>
      <c r="E127" s="7"/>
      <c r="M127" s="7"/>
      <c r="N127" s="7"/>
      <c r="O127" s="7"/>
      <c r="P127" s="7"/>
      <c r="Q127" s="7"/>
      <c r="S127" s="7" t="s">
        <v>136</v>
      </c>
      <c r="T127" s="8">
        <f t="array" ref="T127">XLOOKUP(S127, MAPK8IP3, B3:B1000, XLOOKUP(S127, ZC4H2, H3:H1000, XLOOKUP(S127, SLC6A1, N3:N1000)))</f>
        <v>2</v>
      </c>
      <c r="U127" s="8">
        <f t="array" ref="U127">XLOOKUP(S127, MAPK8IP3, C3:C1000, XLOOKUP(S127, ZC4H2, I3:I1000, XLOOKUP(S127, SLC6A1, O3:O1000)))</f>
        <v>3</v>
      </c>
      <c r="V127" s="7" t="b">
        <f t="array" ref="V127">XLOOKUP(S127, MAPK8IP3, D3:D1000, XLOOKUP(S127, ZC4H2, J3:J1000, XLOOKUP(S127, SLC6A1, P3:P1000)))</f>
        <v>1</v>
      </c>
    </row>
    <row r="128">
      <c r="A128" s="7"/>
      <c r="B128" s="7"/>
      <c r="C128" s="7"/>
      <c r="D128" s="7"/>
      <c r="E128" s="7"/>
      <c r="M128" s="7"/>
      <c r="N128" s="7"/>
      <c r="O128" s="7"/>
      <c r="P128" s="7"/>
      <c r="Q128" s="7"/>
      <c r="S128" s="7" t="s">
        <v>137</v>
      </c>
      <c r="T128" s="8">
        <f t="array" ref="T128">XLOOKUP(S128, MAPK8IP3, B3:B1000, XLOOKUP(S128, ZC4H2, H3:H1000, XLOOKUP(S128, SLC6A1, N3:N1000)))</f>
        <v>3</v>
      </c>
      <c r="U128" s="8">
        <f t="array" ref="U128">XLOOKUP(S128, MAPK8IP3, C3:C1000, XLOOKUP(S128, ZC4H2, I3:I1000, XLOOKUP(S128, SLC6A1, O3:O1000)))</f>
        <v>3</v>
      </c>
      <c r="V128" s="7" t="b">
        <f t="array" ref="V128">XLOOKUP(S128, MAPK8IP3, D3:D1000, XLOOKUP(S128, ZC4H2, J3:J1000, XLOOKUP(S128, SLC6A1, P3:P1000)))</f>
        <v>0</v>
      </c>
    </row>
    <row r="129">
      <c r="A129" s="7"/>
      <c r="B129" s="7"/>
      <c r="C129" s="7"/>
      <c r="D129" s="7"/>
      <c r="E129" s="7"/>
      <c r="M129" s="7"/>
      <c r="N129" s="7"/>
      <c r="O129" s="7"/>
      <c r="P129" s="7"/>
      <c r="Q129" s="7"/>
      <c r="S129" s="7" t="s">
        <v>138</v>
      </c>
      <c r="T129" s="8">
        <f t="array" ref="T129">XLOOKUP(S129, MAPK8IP3, B3:B1000, XLOOKUP(S129, ZC4H2, H3:H1000, XLOOKUP(S129, SLC6A1, N3:N1000)))</f>
        <v>2</v>
      </c>
      <c r="U129" s="8">
        <f t="array" ref="U129">XLOOKUP(S129, MAPK8IP3, C3:C1000, XLOOKUP(S129, ZC4H2, I3:I1000, XLOOKUP(S129, SLC6A1, O3:O1000)))</f>
        <v>3</v>
      </c>
      <c r="V129" s="7" t="b">
        <f t="array" ref="V129">XLOOKUP(S129, MAPK8IP3, D3:D1000, XLOOKUP(S129, ZC4H2, J3:J1000, XLOOKUP(S129, SLC6A1, P3:P1000)))</f>
        <v>0</v>
      </c>
    </row>
    <row r="130">
      <c r="A130" s="7"/>
      <c r="B130" s="7"/>
      <c r="C130" s="7"/>
      <c r="D130" s="7"/>
      <c r="E130" s="7"/>
      <c r="M130" s="7"/>
      <c r="N130" s="7"/>
      <c r="O130" s="7"/>
      <c r="P130" s="7"/>
      <c r="Q130" s="7"/>
      <c r="S130" s="7" t="s">
        <v>139</v>
      </c>
      <c r="T130" s="7">
        <f t="array" ref="T130">XLOOKUP(S130, MAPK8IP3, B3:B1000, XLOOKUP(S130, ZC4H2, H3:H1000, XLOOKUP(S130, SLC6A1, N3:N1000)))</f>
        <v>1</v>
      </c>
      <c r="U130" s="7">
        <f t="array" ref="U130">XLOOKUP(S130, MAPK8IP3, C3:C1000, XLOOKUP(S130, ZC4H2, I3:I1000, XLOOKUP(S130, SLC6A1, O3:O1000)))</f>
        <v>3</v>
      </c>
      <c r="V130" s="7" t="b">
        <f t="array" ref="V130">XLOOKUP(S130, MAPK8IP3, D3:D1000, XLOOKUP(S130, ZC4H2, J3:J1000, XLOOKUP(S130, SLC6A1, P3:P1000)))</f>
        <v>0</v>
      </c>
    </row>
    <row r="131">
      <c r="A131" s="7"/>
      <c r="B131" s="7"/>
      <c r="C131" s="7"/>
      <c r="D131" s="7"/>
      <c r="E131" s="7"/>
      <c r="M131" s="7"/>
      <c r="N131" s="7"/>
      <c r="O131" s="7"/>
      <c r="P131" s="7"/>
      <c r="Q131" s="7"/>
      <c r="S131" s="7" t="s">
        <v>140</v>
      </c>
      <c r="T131" s="7">
        <f t="array" ref="T131">XLOOKUP(S131, MAPK8IP3, B3:B1000, XLOOKUP(S131, ZC4H2, H3:H1000, XLOOKUP(S131, SLC6A1, N3:N1000)))</f>
        <v>1</v>
      </c>
      <c r="U131" s="7">
        <f t="array" ref="U131">XLOOKUP(S131, MAPK8IP3, C3:C1000, XLOOKUP(S131, ZC4H2, I3:I1000, XLOOKUP(S131, SLC6A1, O3:O1000)))</f>
        <v>3</v>
      </c>
      <c r="V131" s="7" t="b">
        <f t="array" ref="V131">XLOOKUP(S131, MAPK8IP3, D3:D1000, XLOOKUP(S131, ZC4H2, J3:J1000, XLOOKUP(S131, SLC6A1, P3:P1000)))</f>
        <v>0</v>
      </c>
    </row>
    <row r="132">
      <c r="A132" s="7"/>
      <c r="B132" s="7"/>
      <c r="C132" s="7"/>
      <c r="D132" s="7"/>
      <c r="E132" s="7"/>
      <c r="M132" s="7"/>
      <c r="N132" s="7"/>
      <c r="O132" s="7"/>
      <c r="P132" s="7"/>
      <c r="Q132" s="7"/>
      <c r="S132" s="7" t="s">
        <v>141</v>
      </c>
      <c r="T132" s="8">
        <f t="array" ref="T132">XLOOKUP(S132, MAPK8IP3, B3:B1000, XLOOKUP(S132, ZC4H2, H3:H1000, XLOOKUP(S132, SLC6A1, N3:N1000)))</f>
        <v>1</v>
      </c>
      <c r="U132" s="8">
        <f t="array" ref="U132">XLOOKUP(S132, MAPK8IP3, C3:C1000, XLOOKUP(S132, ZC4H2, I3:I1000, XLOOKUP(S132, SLC6A1, O3:O1000)))</f>
        <v>3</v>
      </c>
      <c r="V132" s="7" t="b">
        <f t="array" ref="V132">XLOOKUP(S132, MAPK8IP3, D3:D1000, XLOOKUP(S132, ZC4H2, J3:J1000, XLOOKUP(S132, SLC6A1, P3:P1000)))</f>
        <v>0</v>
      </c>
    </row>
    <row r="133">
      <c r="A133" s="7"/>
      <c r="B133" s="7"/>
      <c r="C133" s="7"/>
      <c r="D133" s="7"/>
      <c r="E133" s="7"/>
      <c r="M133" s="7"/>
      <c r="N133" s="7"/>
      <c r="O133" s="7"/>
      <c r="P133" s="7"/>
      <c r="Q133" s="7"/>
      <c r="S133" s="7" t="s">
        <v>142</v>
      </c>
      <c r="T133" s="8">
        <f t="array" ref="T133">XLOOKUP(S133, MAPK8IP3, B3:B1000, XLOOKUP(S133, ZC4H2, H3:H1000, XLOOKUP(S133, SLC6A1, N3:N1000)))</f>
        <v>2</v>
      </c>
      <c r="U133" s="8">
        <f t="array" ref="U133">XLOOKUP(S133, MAPK8IP3, C3:C1000, XLOOKUP(S133, ZC4H2, I3:I1000, XLOOKUP(S133, SLC6A1, O3:O1000)))</f>
        <v>3</v>
      </c>
      <c r="V133" s="7" t="b">
        <f t="array" ref="V133">XLOOKUP(S133, MAPK8IP3, D3:D1000, XLOOKUP(S133, ZC4H2, J3:J1000, XLOOKUP(S133, SLC6A1, P3:P1000)))</f>
        <v>0</v>
      </c>
    </row>
    <row r="134">
      <c r="A134" s="7"/>
      <c r="B134" s="7"/>
      <c r="C134" s="7"/>
      <c r="D134" s="7"/>
      <c r="E134" s="7"/>
      <c r="M134" s="7"/>
      <c r="N134" s="7"/>
      <c r="O134" s="7"/>
      <c r="P134" s="7"/>
      <c r="Q134" s="7"/>
      <c r="S134" s="7" t="s">
        <v>143</v>
      </c>
      <c r="T134" s="8">
        <f t="array" ref="T134">XLOOKUP(S134, MAPK8IP3, B3:B1000, XLOOKUP(S134, ZC4H2, H3:H1000, XLOOKUP(S134, SLC6A1, N3:N1000)))</f>
        <v>3</v>
      </c>
      <c r="U134" s="8">
        <f t="array" ref="U134">XLOOKUP(S134, MAPK8IP3, C3:C1000, XLOOKUP(S134, ZC4H2, I3:I1000, XLOOKUP(S134, SLC6A1, O3:O1000)))</f>
        <v>3</v>
      </c>
      <c r="V134" s="7" t="b">
        <f t="array" ref="V134">XLOOKUP(S134, MAPK8IP3, D3:D1000, XLOOKUP(S134, ZC4H2, J3:J1000, XLOOKUP(S134, SLC6A1, P3:P1000)))</f>
        <v>0</v>
      </c>
    </row>
    <row r="135">
      <c r="A135" s="7"/>
      <c r="B135" s="7"/>
      <c r="C135" s="7"/>
      <c r="D135" s="7"/>
      <c r="E135" s="7"/>
      <c r="M135" s="7"/>
      <c r="N135" s="7"/>
      <c r="O135" s="7"/>
      <c r="P135" s="7"/>
      <c r="Q135" s="7"/>
      <c r="S135" s="7" t="s">
        <v>144</v>
      </c>
      <c r="T135" s="8">
        <f t="array" ref="T135">XLOOKUP(S135, MAPK8IP3, B3:B1000, XLOOKUP(S135, ZC4H2, H3:H1000, XLOOKUP(S135, SLC6A1, N3:N1000)))</f>
        <v>6</v>
      </c>
      <c r="U135" s="8">
        <f t="array" ref="U135">XLOOKUP(S135, MAPK8IP3, C3:C1000, XLOOKUP(S135, ZC4H2, I3:I1000, XLOOKUP(S135, SLC6A1, O3:O1000)))</f>
        <v>3</v>
      </c>
      <c r="V135" s="7" t="b">
        <f t="array" ref="V135">XLOOKUP(S135, MAPK8IP3, D3:D1000, XLOOKUP(S135, ZC4H2, J3:J1000, XLOOKUP(S135, SLC6A1, P3:P1000)))</f>
        <v>0</v>
      </c>
    </row>
    <row r="136">
      <c r="A136" s="7"/>
      <c r="B136" s="7"/>
      <c r="C136" s="7"/>
      <c r="D136" s="7"/>
      <c r="E136" s="7"/>
      <c r="M136" s="7"/>
      <c r="N136" s="7"/>
      <c r="O136" s="7"/>
      <c r="P136" s="7"/>
      <c r="Q136" s="7"/>
      <c r="S136" s="7" t="s">
        <v>145</v>
      </c>
      <c r="T136" s="8">
        <f t="array" ref="T136">XLOOKUP(S136, MAPK8IP3, B3:B1000, XLOOKUP(S136, ZC4H2, H3:H1000, XLOOKUP(S136, SLC6A1, N3:N1000)))</f>
        <v>2</v>
      </c>
      <c r="U136" s="8">
        <f t="array" ref="U136">XLOOKUP(S136, MAPK8IP3, C3:C1000, XLOOKUP(S136, ZC4H2, I3:I1000, XLOOKUP(S136, SLC6A1, O3:O1000)))</f>
        <v>3</v>
      </c>
      <c r="V136" s="7" t="b">
        <f t="array" ref="V136">XLOOKUP(S136, MAPK8IP3, D3:D1000, XLOOKUP(S136, ZC4H2, J3:J1000, XLOOKUP(S136, SLC6A1, P3:P1000)))</f>
        <v>0</v>
      </c>
    </row>
    <row r="137">
      <c r="A137" s="7"/>
      <c r="B137" s="7"/>
      <c r="C137" s="7"/>
      <c r="D137" s="7"/>
      <c r="E137" s="7"/>
      <c r="M137" s="7"/>
      <c r="N137" s="7"/>
      <c r="O137" s="7"/>
      <c r="P137" s="7"/>
      <c r="Q137" s="7"/>
      <c r="S137" s="7" t="s">
        <v>146</v>
      </c>
      <c r="T137" s="8">
        <f t="array" ref="T137">XLOOKUP(S137, MAPK8IP3, B3:B1000, XLOOKUP(S137, ZC4H2, H3:H1000, XLOOKUP(S137, SLC6A1, N3:N1000)))</f>
        <v>1</v>
      </c>
      <c r="U137" s="8">
        <f t="array" ref="U137">XLOOKUP(S137, MAPK8IP3, C3:C1000, XLOOKUP(S137, ZC4H2, I3:I1000, XLOOKUP(S137, SLC6A1, O3:O1000)))</f>
        <v>3</v>
      </c>
      <c r="V137" s="7" t="b">
        <f t="array" ref="V137">XLOOKUP(S137, MAPK8IP3, D3:D1000, XLOOKUP(S137, ZC4H2, J3:J1000, XLOOKUP(S137, SLC6A1, P3:P1000)))</f>
        <v>0</v>
      </c>
    </row>
    <row r="138">
      <c r="A138" s="7"/>
      <c r="B138" s="7"/>
      <c r="C138" s="7"/>
      <c r="D138" s="7"/>
      <c r="E138" s="7"/>
      <c r="M138" s="7"/>
      <c r="N138" s="7"/>
      <c r="O138" s="7"/>
      <c r="P138" s="7"/>
      <c r="Q138" s="7"/>
      <c r="S138" s="7" t="s">
        <v>147</v>
      </c>
      <c r="T138" s="8">
        <f t="array" ref="T138">XLOOKUP(S138, MAPK8IP3, B3:B1000, XLOOKUP(S138, ZC4H2, H3:H1000, XLOOKUP(S138, SLC6A1, N3:N1000)))</f>
        <v>0</v>
      </c>
      <c r="U138" s="8">
        <f t="array" ref="U138">XLOOKUP(S138, MAPK8IP3, C3:C1000, XLOOKUP(S138, ZC4H2, I3:I1000, XLOOKUP(S138, SLC6A1, O3:O1000)))</f>
        <v>3</v>
      </c>
      <c r="V138" s="7" t="b">
        <f t="array" ref="V138">XLOOKUP(S138, MAPK8IP3, D3:D1000, XLOOKUP(S138, ZC4H2, J3:J1000, XLOOKUP(S138, SLC6A1, P3:P1000)))</f>
        <v>0</v>
      </c>
    </row>
    <row r="139">
      <c r="A139" s="7"/>
      <c r="B139" s="7"/>
      <c r="C139" s="7"/>
      <c r="D139" s="7"/>
      <c r="E139" s="7"/>
      <c r="M139" s="7"/>
      <c r="N139" s="7"/>
      <c r="O139" s="7"/>
      <c r="P139" s="7"/>
      <c r="Q139" s="7"/>
      <c r="S139" s="7"/>
    </row>
    <row r="140">
      <c r="A140" s="7"/>
      <c r="B140" s="7"/>
      <c r="C140" s="7"/>
      <c r="D140" s="7"/>
      <c r="E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M970" s="7"/>
      <c r="N970" s="7"/>
      <c r="O970" s="7"/>
      <c r="P970" s="7"/>
      <c r="Q970" s="7"/>
    </row>
    <row r="971">
      <c r="A971" s="7"/>
      <c r="B971" s="7"/>
      <c r="C971" s="7"/>
      <c r="D971" s="7"/>
      <c r="E971" s="7"/>
      <c r="M971" s="7"/>
      <c r="N971" s="7"/>
      <c r="O971" s="7"/>
      <c r="P971" s="7"/>
      <c r="Q971" s="7"/>
    </row>
    <row r="972">
      <c r="A972" s="7"/>
      <c r="B972" s="7"/>
      <c r="C972" s="7"/>
      <c r="D972" s="7"/>
      <c r="E972" s="7"/>
      <c r="M972" s="7"/>
      <c r="N972" s="7"/>
      <c r="O972" s="7"/>
      <c r="P972" s="7"/>
      <c r="Q972" s="7"/>
    </row>
    <row r="973">
      <c r="A973" s="7"/>
      <c r="B973" s="7"/>
      <c r="C973" s="7"/>
      <c r="D973" s="7"/>
      <c r="E973" s="7"/>
      <c r="M973" s="7"/>
      <c r="N973" s="7"/>
      <c r="O973" s="7"/>
      <c r="P973" s="7"/>
      <c r="Q973" s="7"/>
    </row>
    <row r="974">
      <c r="A974" s="7"/>
      <c r="B974" s="7"/>
      <c r="C974" s="7"/>
      <c r="D974" s="7"/>
      <c r="E974" s="7"/>
      <c r="M974" s="7"/>
      <c r="N974" s="7"/>
      <c r="O974" s="7"/>
      <c r="P974" s="7"/>
      <c r="Q974" s="7"/>
    </row>
    <row r="975">
      <c r="A975" s="7"/>
      <c r="B975" s="7"/>
      <c r="C975" s="7"/>
      <c r="D975" s="7"/>
      <c r="E975" s="7"/>
      <c r="M975" s="7"/>
      <c r="N975" s="7"/>
      <c r="O975" s="7"/>
      <c r="P975" s="7"/>
      <c r="Q975" s="7"/>
    </row>
    <row r="976">
      <c r="A976" s="7"/>
      <c r="B976" s="7"/>
      <c r="C976" s="7"/>
      <c r="D976" s="7"/>
      <c r="E976" s="7"/>
      <c r="M976" s="7"/>
      <c r="N976" s="7"/>
      <c r="O976" s="7"/>
      <c r="P976" s="7"/>
      <c r="Q976" s="7"/>
    </row>
    <row r="977">
      <c r="A977" s="7"/>
      <c r="B977" s="7"/>
      <c r="C977" s="7"/>
      <c r="D977" s="7"/>
      <c r="E977" s="7"/>
      <c r="M977" s="7"/>
      <c r="N977" s="7"/>
      <c r="O977" s="7"/>
      <c r="P977" s="7"/>
      <c r="Q977" s="7"/>
    </row>
    <row r="978">
      <c r="A978" s="7"/>
      <c r="B978" s="7"/>
      <c r="C978" s="7"/>
      <c r="D978" s="7"/>
      <c r="E978" s="7"/>
      <c r="M978" s="7"/>
      <c r="N978" s="7"/>
      <c r="O978" s="7"/>
      <c r="P978" s="7"/>
      <c r="Q978" s="7"/>
    </row>
    <row r="979">
      <c r="A979" s="7"/>
      <c r="B979" s="7"/>
      <c r="C979" s="7"/>
      <c r="D979" s="7"/>
      <c r="E979" s="7"/>
      <c r="M979" s="7"/>
      <c r="N979" s="7"/>
      <c r="O979" s="7"/>
      <c r="P979" s="7"/>
      <c r="Q979" s="7"/>
    </row>
    <row r="980">
      <c r="A980" s="7"/>
      <c r="B980" s="7"/>
      <c r="C980" s="7"/>
      <c r="D980" s="7"/>
      <c r="E980" s="7"/>
      <c r="M980" s="7"/>
      <c r="N980" s="7"/>
      <c r="O980" s="7"/>
      <c r="P980" s="7"/>
      <c r="Q980" s="7"/>
    </row>
    <row r="981">
      <c r="A981" s="7"/>
      <c r="B981" s="7"/>
      <c r="C981" s="7"/>
      <c r="D981" s="7"/>
      <c r="E981" s="7"/>
      <c r="M981" s="7"/>
      <c r="N981" s="7"/>
      <c r="O981" s="7"/>
      <c r="P981" s="7"/>
      <c r="Q981" s="7"/>
    </row>
    <row r="982">
      <c r="A982" s="7"/>
      <c r="B982" s="7"/>
      <c r="C982" s="7"/>
      <c r="D982" s="7"/>
      <c r="E982" s="7"/>
      <c r="M982" s="7"/>
      <c r="N982" s="7"/>
      <c r="O982" s="7"/>
      <c r="P982" s="7"/>
      <c r="Q982" s="7"/>
    </row>
    <row r="983">
      <c r="A983" s="7"/>
      <c r="B983" s="7"/>
      <c r="C983" s="7"/>
      <c r="D983" s="7"/>
      <c r="E983" s="7"/>
      <c r="M983" s="7"/>
      <c r="N983" s="7"/>
      <c r="O983" s="7"/>
      <c r="P983" s="7"/>
      <c r="Q983" s="7"/>
    </row>
    <row r="984">
      <c r="A984" s="7"/>
      <c r="B984" s="7"/>
      <c r="C984" s="7"/>
      <c r="D984" s="7"/>
      <c r="E984" s="7"/>
      <c r="M984" s="7"/>
      <c r="N984" s="7"/>
      <c r="O984" s="7"/>
      <c r="P984" s="7"/>
      <c r="Q984" s="7"/>
    </row>
    <row r="985">
      <c r="A985" s="7"/>
      <c r="B985" s="7"/>
      <c r="C985" s="7"/>
      <c r="D985" s="7"/>
      <c r="E985" s="7"/>
      <c r="M985" s="7"/>
      <c r="N985" s="7"/>
      <c r="O985" s="7"/>
      <c r="P985" s="7"/>
      <c r="Q985" s="7"/>
    </row>
    <row r="986">
      <c r="A986" s="7"/>
      <c r="B986" s="7"/>
      <c r="C986" s="7"/>
      <c r="D986" s="7"/>
      <c r="E986" s="7"/>
      <c r="M986" s="7"/>
      <c r="N986" s="7"/>
      <c r="O986" s="7"/>
      <c r="P986" s="7"/>
      <c r="Q986" s="7"/>
    </row>
    <row r="987">
      <c r="A987" s="7"/>
      <c r="B987" s="7"/>
      <c r="C987" s="7"/>
      <c r="D987" s="7"/>
      <c r="E987" s="7"/>
      <c r="M987" s="7"/>
      <c r="N987" s="7"/>
      <c r="O987" s="7"/>
      <c r="P987" s="7"/>
      <c r="Q987" s="7"/>
    </row>
    <row r="988">
      <c r="A988" s="7"/>
      <c r="B988" s="7"/>
      <c r="C988" s="7"/>
      <c r="D988" s="7"/>
      <c r="E988" s="7"/>
      <c r="M988" s="7"/>
      <c r="N988" s="7"/>
      <c r="O988" s="7"/>
      <c r="P988" s="7"/>
      <c r="Q988" s="7"/>
    </row>
    <row r="989">
      <c r="A989" s="7"/>
      <c r="B989" s="7"/>
      <c r="C989" s="7"/>
      <c r="D989" s="7"/>
      <c r="E989" s="7"/>
      <c r="M989" s="7"/>
      <c r="N989" s="7"/>
      <c r="O989" s="7"/>
      <c r="P989" s="7"/>
      <c r="Q989" s="7"/>
    </row>
    <row r="990">
      <c r="A990" s="7"/>
      <c r="B990" s="7"/>
      <c r="C990" s="7"/>
      <c r="D990" s="7"/>
      <c r="E990" s="7"/>
      <c r="M990" s="7"/>
      <c r="N990" s="7"/>
      <c r="O990" s="7"/>
      <c r="P990" s="7"/>
      <c r="Q990" s="7"/>
    </row>
    <row r="991">
      <c r="A991" s="7"/>
      <c r="B991" s="7"/>
      <c r="C991" s="7"/>
      <c r="D991" s="7"/>
      <c r="E991" s="7"/>
      <c r="M991" s="7"/>
      <c r="N991" s="7"/>
      <c r="O991" s="7"/>
      <c r="P991" s="7"/>
      <c r="Q991" s="7"/>
    </row>
    <row r="992">
      <c r="A992" s="7"/>
      <c r="B992" s="7"/>
      <c r="C992" s="7"/>
      <c r="D992" s="7"/>
      <c r="E992" s="7"/>
      <c r="M992" s="7"/>
      <c r="N992" s="7"/>
      <c r="O992" s="7"/>
      <c r="P992" s="7"/>
      <c r="Q992" s="7"/>
    </row>
    <row r="993">
      <c r="A993" s="7"/>
      <c r="B993" s="7"/>
      <c r="C993" s="7"/>
      <c r="D993" s="7"/>
      <c r="E993" s="7"/>
      <c r="M993" s="7"/>
      <c r="N993" s="7"/>
      <c r="O993" s="7"/>
      <c r="P993" s="7"/>
      <c r="Q993" s="7"/>
    </row>
    <row r="994">
      <c r="A994" s="7"/>
      <c r="B994" s="7"/>
      <c r="C994" s="7"/>
      <c r="D994" s="7"/>
      <c r="E994" s="7"/>
      <c r="M994" s="7"/>
      <c r="N994" s="7"/>
      <c r="O994" s="7"/>
      <c r="P994" s="7"/>
      <c r="Q994" s="7"/>
    </row>
    <row r="995">
      <c r="A995" s="7"/>
      <c r="B995" s="7"/>
      <c r="C995" s="7"/>
      <c r="D995" s="7"/>
      <c r="E995" s="7"/>
      <c r="M995" s="7"/>
      <c r="N995" s="7"/>
      <c r="O995" s="7"/>
      <c r="P995" s="7"/>
      <c r="Q995" s="7"/>
    </row>
    <row r="996">
      <c r="A996" s="7"/>
      <c r="B996" s="7"/>
      <c r="C996" s="7"/>
      <c r="D996" s="7"/>
      <c r="E996" s="7"/>
      <c r="M996" s="7"/>
      <c r="N996" s="7"/>
      <c r="O996" s="7"/>
      <c r="P996" s="7"/>
      <c r="Q996" s="7"/>
    </row>
    <row r="997">
      <c r="A997" s="7"/>
      <c r="B997" s="7"/>
      <c r="C997" s="7"/>
      <c r="D997" s="7"/>
      <c r="E997" s="7"/>
      <c r="M997" s="7"/>
      <c r="N997" s="7"/>
      <c r="O997" s="7"/>
      <c r="P997" s="7"/>
      <c r="Q997" s="7"/>
    </row>
    <row r="998">
      <c r="A998" s="7"/>
      <c r="B998" s="7"/>
      <c r="C998" s="7"/>
      <c r="D998" s="7"/>
      <c r="E998" s="7"/>
      <c r="M998" s="7"/>
      <c r="N998" s="7"/>
      <c r="O998" s="7"/>
      <c r="P998" s="7"/>
      <c r="Q998" s="7"/>
    </row>
    <row r="999">
      <c r="A999" s="7"/>
      <c r="B999" s="7"/>
      <c r="C999" s="7"/>
      <c r="D999" s="7"/>
      <c r="E999" s="7"/>
      <c r="M999" s="7"/>
      <c r="N999" s="7"/>
      <c r="O999" s="7"/>
      <c r="P999" s="7"/>
      <c r="Q999" s="7"/>
    </row>
    <row r="1000">
      <c r="M1000" s="7"/>
      <c r="N1000" s="7"/>
      <c r="O1000" s="7"/>
      <c r="P1000" s="7"/>
      <c r="Q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2.63"/>
    <col customWidth="1" min="3" max="3" width="21.63"/>
    <col customWidth="1" min="4" max="4" width="5.63"/>
    <col customWidth="1" min="5" max="5" width="5.88"/>
    <col customWidth="1" min="7" max="7" width="20.75"/>
    <col customWidth="1" min="8" max="8" width="5.63"/>
    <col customWidth="1" min="9" max="9" width="5.88"/>
    <col customWidth="1" min="11" max="11" width="17.63"/>
    <col customWidth="1" min="12" max="12" width="5.63"/>
    <col customWidth="1" min="13" max="13" width="5.88"/>
    <col customWidth="1" min="15" max="15" width="18.75"/>
    <col customWidth="1" min="16" max="16" width="5.63"/>
    <col customWidth="1" min="17" max="17" width="5.88"/>
  </cols>
  <sheetData>
    <row r="1">
      <c r="A1" s="1" t="s">
        <v>148</v>
      </c>
      <c r="B1" s="1"/>
      <c r="C1" s="1" t="s">
        <v>149</v>
      </c>
      <c r="D1" s="1" t="s">
        <v>10</v>
      </c>
      <c r="E1" s="1" t="s">
        <v>150</v>
      </c>
      <c r="F1" s="2"/>
      <c r="G1" s="1" t="s">
        <v>151</v>
      </c>
      <c r="H1" s="1" t="s">
        <v>10</v>
      </c>
      <c r="I1" s="1" t="s">
        <v>150</v>
      </c>
      <c r="J1" s="2"/>
      <c r="K1" s="1" t="s">
        <v>152</v>
      </c>
      <c r="L1" s="1" t="s">
        <v>10</v>
      </c>
      <c r="M1" s="1" t="s">
        <v>150</v>
      </c>
      <c r="N1" s="2"/>
      <c r="O1" s="1" t="s">
        <v>153</v>
      </c>
      <c r="P1" s="1" t="s">
        <v>10</v>
      </c>
      <c r="Q1" s="1" t="s">
        <v>150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7">
        <f t="array" ref="A2">COUNTA(UNIQUE({MAPK8IP3; ZC4H2; SLC6A1}))</f>
        <v>136</v>
      </c>
      <c r="C2" s="7" t="str">
        <f>IFERROR(__xludf.DUMMYFUNCTION("SORT(UNIQUE({FILTER(MAPK8IP3, ISNUMBER(MATCH(MAPK8IP3, ZC4H2, 0))); FILTER(ZC4H2, ISNUMBER(MATCH(ZC4H2, SLC6A1, 0))); FILTER(SLC6A1, ISNUMBER(MATCH(SLC6A1, MAPK8IP3, 0)))}))"),"Acamprosate")</f>
        <v>Acamprosate</v>
      </c>
      <c r="D2" s="8">
        <f t="array" ref="D2">XLOOKUP(C2, Combined, 'Imported Data'!T3:T1000)</f>
        <v>1</v>
      </c>
      <c r="E2" s="7">
        <f>COUNTA(C2:C1000)</f>
        <v>102</v>
      </c>
      <c r="G2" s="7" t="str">
        <f>IFERROR(__xludf.DUMMYFUNCTION("SORT(UNIQUE(FILTER(MAPK8IP3, ISNA(MATCH(MAPK8IP3, C2:C1000, 0)))))"),"Apraclonidine")</f>
        <v>Apraclonidine</v>
      </c>
      <c r="H2" s="8">
        <f t="array" ref="H2">XLOOKUP(G2, Combined, 'Imported Data'!T3:T1000)</f>
        <v>1</v>
      </c>
      <c r="I2" s="7">
        <f>COUNTA(G2:G1000)</f>
        <v>19</v>
      </c>
      <c r="K2" s="7" t="str">
        <f>IFERROR(__xludf.DUMMYFUNCTION("SORT(UNIQUE(FILTER(ZC4H2, ISNA(MATCH(ZC4H2, C2:C1000, 0)))))"),"Alfentanil")</f>
        <v>Alfentanil</v>
      </c>
      <c r="L2" s="7">
        <f t="array" ref="L2">XLOOKUP(K2, Combined, 'Imported Data'!T3:T1000)</f>
        <v>0</v>
      </c>
      <c r="M2" s="7">
        <f>COUNTA(K2:K1000)</f>
        <v>7</v>
      </c>
      <c r="O2" s="7" t="str">
        <f>IFERROR(__xludf.DUMMYFUNCTION("SORT(UNIQUE(FILTER(SLC6A1, ISNA(MATCH(SLC6A1, C2:C1000, 0)))))"),"Chloroprocaine")</f>
        <v>Chloroprocaine</v>
      </c>
      <c r="P2" s="7">
        <f t="array" ref="P2">XLOOKUP(O2, Combined, 'Imported Data'!T3:T1000)</f>
        <v>0</v>
      </c>
      <c r="Q2" s="7">
        <f>COUNTA(O2:O1000)</f>
        <v>8</v>
      </c>
    </row>
    <row r="3">
      <c r="C3" s="7" t="str">
        <f>IFERROR(__xludf.DUMMYFUNCTION("""COMPUTED_VALUE"""),"Acetaminophen")</f>
        <v>Acetaminophen</v>
      </c>
      <c r="D3" s="8">
        <f t="array" ref="D3">XLOOKUP(C3, Combined, 'Imported Data'!T3:T1000)</f>
        <v>6</v>
      </c>
      <c r="G3" s="7" t="str">
        <f>IFERROR(__xludf.DUMMYFUNCTION("""COMPUTED_VALUE"""),"Azelaic acid")</f>
        <v>Azelaic acid</v>
      </c>
      <c r="H3" s="8">
        <f t="array" ref="H3">XLOOKUP(G3, Combined, 'Imported Data'!T3:T1000)</f>
        <v>6</v>
      </c>
      <c r="K3" s="7" t="str">
        <f>IFERROR(__xludf.DUMMYFUNCTION("""COMPUTED_VALUE"""),"Anidulafungin")</f>
        <v>Anidulafungin</v>
      </c>
      <c r="L3" s="7">
        <f t="array" ref="L3">XLOOKUP(K3, Combined, 'Imported Data'!T3:T1000)</f>
        <v>0</v>
      </c>
      <c r="O3" s="7" t="str">
        <f>IFERROR(__xludf.DUMMYFUNCTION("""COMPUTED_VALUE"""),"Clomifene")</f>
        <v>Clomifene</v>
      </c>
      <c r="P3" s="7">
        <f t="array" ref="P3">XLOOKUP(O3, Combined, 'Imported Data'!T3:T1000)</f>
        <v>0</v>
      </c>
    </row>
    <row r="4">
      <c r="C4" s="7" t="str">
        <f>IFERROR(__xludf.DUMMYFUNCTION("""COMPUTED_VALUE"""),"Acetylcysteine")</f>
        <v>Acetylcysteine</v>
      </c>
      <c r="D4" s="8">
        <f t="array" ref="D4">XLOOKUP(C4, Combined, 'Imported Data'!T3:T1000)</f>
        <v>6</v>
      </c>
      <c r="G4" s="7" t="str">
        <f>IFERROR(__xludf.DUMMYFUNCTION("""COMPUTED_VALUE"""),"Bepotastine")</f>
        <v>Bepotastine</v>
      </c>
      <c r="H4" s="8">
        <f t="array" ref="H4">XLOOKUP(G4, Combined, 'Imported Data'!T3:T1000)</f>
        <v>2</v>
      </c>
      <c r="K4" s="7" t="str">
        <f>IFERROR(__xludf.DUMMYFUNCTION("""COMPUTED_VALUE"""),"Clindamycin")</f>
        <v>Clindamycin</v>
      </c>
      <c r="L4" s="7">
        <f t="array" ref="L4">XLOOKUP(K4, Combined, 'Imported Data'!T3:T1000)</f>
        <v>6</v>
      </c>
      <c r="O4" s="7" t="str">
        <f>IFERROR(__xludf.DUMMYFUNCTION("""COMPUTED_VALUE"""),"Desonide")</f>
        <v>Desonide</v>
      </c>
      <c r="P4" s="7">
        <f t="array" ref="P4">XLOOKUP(O4, Combined, 'Imported Data'!T3:T1000)</f>
        <v>5</v>
      </c>
    </row>
    <row r="5">
      <c r="C5" s="7" t="str">
        <f>IFERROR(__xludf.DUMMYFUNCTION("""COMPUTED_VALUE"""),"Alfacalcidol")</f>
        <v>Alfacalcidol</v>
      </c>
      <c r="D5" s="8">
        <f t="array" ref="D5">XLOOKUP(C5, Combined, 'Imported Data'!T3:T1000)</f>
        <v>3</v>
      </c>
      <c r="G5" s="7" t="str">
        <f>IFERROR(__xludf.DUMMYFUNCTION("""COMPUTED_VALUE"""),"Cefoperazone")</f>
        <v>Cefoperazone</v>
      </c>
      <c r="H5" s="8">
        <f t="array" ref="H5">XLOOKUP(G5, Combined, 'Imported Data'!T3:T1000)</f>
        <v>2</v>
      </c>
      <c r="K5" s="7" t="str">
        <f>IFERROR(__xludf.DUMMYFUNCTION("""COMPUTED_VALUE"""),"Phenoxybenzamine")</f>
        <v>Phenoxybenzamine</v>
      </c>
      <c r="L5" s="7">
        <f t="array" ref="L5">XLOOKUP(K5, Combined, 'Imported Data'!T3:T1000)</f>
        <v>0</v>
      </c>
      <c r="O5" s="7" t="str">
        <f>IFERROR(__xludf.DUMMYFUNCTION("""COMPUTED_VALUE"""),"Hydromorphone")</f>
        <v>Hydromorphone</v>
      </c>
      <c r="P5" s="7">
        <f t="array" ref="P5">XLOOKUP(O5, Combined, 'Imported Data'!T3:T1000)</f>
        <v>1</v>
      </c>
    </row>
    <row r="6">
      <c r="C6" s="7" t="str">
        <f>IFERROR(__xludf.DUMMYFUNCTION("""COMPUTED_VALUE"""),"Amantadine")</f>
        <v>Amantadine</v>
      </c>
      <c r="D6" s="8">
        <f t="array" ref="D6">XLOOKUP(C6, Combined, 'Imported Data'!T3:T1000)</f>
        <v>2</v>
      </c>
      <c r="G6" s="7" t="str">
        <f>IFERROR(__xludf.DUMMYFUNCTION("""COMPUTED_VALUE"""),"Citalopram")</f>
        <v>Citalopram</v>
      </c>
      <c r="H6" s="8">
        <f t="array" ref="H6">XLOOKUP(G6, Combined, 'Imported Data'!T3:T1000)</f>
        <v>6</v>
      </c>
      <c r="K6" s="7" t="str">
        <f>IFERROR(__xludf.DUMMYFUNCTION("""COMPUTED_VALUE"""),"Potassium chloride")</f>
        <v>Potassium chloride</v>
      </c>
      <c r="L6" s="7">
        <f t="array" ref="L6">XLOOKUP(K6, Combined, 'Imported Data'!T3:T1000)</f>
        <v>6</v>
      </c>
      <c r="O6" s="7" t="str">
        <f>IFERROR(__xludf.DUMMYFUNCTION("""COMPUTED_VALUE"""),"Meperidine")</f>
        <v>Meperidine</v>
      </c>
      <c r="P6" s="7">
        <f t="array" ref="P6">XLOOKUP(O6, Combined, 'Imported Data'!T3:T1000)</f>
        <v>0</v>
      </c>
    </row>
    <row r="7">
      <c r="C7" s="7" t="str">
        <f>IFERROR(__xludf.DUMMYFUNCTION("""COMPUTED_VALUE"""),"Amitriptyline")</f>
        <v>Amitriptyline</v>
      </c>
      <c r="D7" s="8">
        <f t="array" ref="D7">XLOOKUP(C7, Combined, 'Imported Data'!T3:T1000)</f>
        <v>6</v>
      </c>
      <c r="G7" s="7" t="str">
        <f>IFERROR(__xludf.DUMMYFUNCTION("""COMPUTED_VALUE"""),"Dantrolene")</f>
        <v>Dantrolene</v>
      </c>
      <c r="H7" s="8">
        <f t="array" ref="H7">XLOOKUP(G7, Combined, 'Imported Data'!T3:T1000)</f>
        <v>6</v>
      </c>
      <c r="K7" s="7" t="str">
        <f>IFERROR(__xludf.DUMMYFUNCTION("""COMPUTED_VALUE"""),"Primaquine")</f>
        <v>Primaquine</v>
      </c>
      <c r="L7" s="7">
        <f t="array" ref="L7">XLOOKUP(K7, Combined, 'Imported Data'!T3:T1000)</f>
        <v>0</v>
      </c>
      <c r="O7" s="7" t="str">
        <f>IFERROR(__xludf.DUMMYFUNCTION("""COMPUTED_VALUE"""),"Natalizumab")</f>
        <v>Natalizumab</v>
      </c>
      <c r="P7" s="7">
        <f t="array" ref="P7">XLOOKUP(O7, Combined, 'Imported Data'!T3:T1000)</f>
        <v>0</v>
      </c>
    </row>
    <row r="8">
      <c r="C8" s="7" t="str">
        <f>IFERROR(__xludf.DUMMYFUNCTION("""COMPUTED_VALUE"""),"Anakinra")</f>
        <v>Anakinra</v>
      </c>
      <c r="D8" s="8">
        <f t="array" ref="D8">XLOOKUP(C8, Combined, 'Imported Data'!T3:T1000)</f>
        <v>2</v>
      </c>
      <c r="G8" s="7" t="str">
        <f>IFERROR(__xludf.DUMMYFUNCTION("""COMPUTED_VALUE"""),"Daprodustat")</f>
        <v>Daprodustat</v>
      </c>
      <c r="H8" s="8">
        <f t="array" ref="H8">XLOOKUP(G8, Combined, 'Imported Data'!T3:T1000)</f>
        <v>-1</v>
      </c>
      <c r="K8" s="7" t="str">
        <f>IFERROR(__xludf.DUMMYFUNCTION("""COMPUTED_VALUE"""),"Timolol")</f>
        <v>Timolol</v>
      </c>
      <c r="L8" s="7">
        <f t="array" ref="L8">XLOOKUP(K8, Combined, 'Imported Data'!T3:T1000)</f>
        <v>1</v>
      </c>
      <c r="O8" s="7" t="str">
        <f>IFERROR(__xludf.DUMMYFUNCTION("""COMPUTED_VALUE"""),"Prilocaine")</f>
        <v>Prilocaine</v>
      </c>
      <c r="P8" s="7">
        <f t="array" ref="P8">XLOOKUP(O8, Combined, 'Imported Data'!T3:T1000)</f>
        <v>0</v>
      </c>
    </row>
    <row r="9">
      <c r="C9" s="7" t="str">
        <f>IFERROR(__xludf.DUMMYFUNCTION("""COMPUTED_VALUE"""),"Arsenic trioxide")</f>
        <v>Arsenic trioxide</v>
      </c>
      <c r="D9" s="8">
        <f t="array" ref="D9">XLOOKUP(C9, Combined, 'Imported Data'!T3:T1000)</f>
        <v>1</v>
      </c>
      <c r="G9" s="7" t="str">
        <f>IFERROR(__xludf.DUMMYFUNCTION("""COMPUTED_VALUE"""),"Everolimus")</f>
        <v>Everolimus</v>
      </c>
      <c r="H9" s="8">
        <f t="array" ref="H9">XLOOKUP(G9, Combined, 'Imported Data'!T3:T1000)</f>
        <v>1</v>
      </c>
      <c r="K9" s="7"/>
      <c r="O9" s="7" t="str">
        <f>IFERROR(__xludf.DUMMYFUNCTION("""COMPUTED_VALUE"""),"Tolterodine")</f>
        <v>Tolterodine</v>
      </c>
      <c r="P9" s="7">
        <f t="array" ref="P9">XLOOKUP(O9, Combined, 'Imported Data'!T3:T1000)</f>
        <v>1</v>
      </c>
    </row>
    <row r="10">
      <c r="C10" s="7" t="str">
        <f>IFERROR(__xludf.DUMMYFUNCTION("""COMPUTED_VALUE"""),"Atomoxetine")</f>
        <v>Atomoxetine</v>
      </c>
      <c r="D10" s="8">
        <f t="array" ref="D10">XLOOKUP(C10, Combined, 'Imported Data'!T3:T1000)</f>
        <v>5</v>
      </c>
      <c r="G10" s="7" t="str">
        <f>IFERROR(__xludf.DUMMYFUNCTION("""COMPUTED_VALUE"""),"Ezetimibe")</f>
        <v>Ezetimibe</v>
      </c>
      <c r="H10" s="8">
        <f t="array" ref="H10">XLOOKUP(G10, Combined, 'Imported Data'!T3:T1000)</f>
        <v>5</v>
      </c>
      <c r="O10" s="7"/>
    </row>
    <row r="11">
      <c r="C11" s="9" t="str">
        <f>IFERROR(__xludf.DUMMYFUNCTION("""COMPUTED_VALUE"""),"Baclofen")</f>
        <v>Baclofen</v>
      </c>
      <c r="D11" s="8">
        <f t="array" ref="D11">XLOOKUP(C11, Combined, 'Imported Data'!T3:T1000)</f>
        <v>3</v>
      </c>
      <c r="G11" s="7" t="str">
        <f>IFERROR(__xludf.DUMMYFUNCTION("""COMPUTED_VALUE"""),"Fusidic acid")</f>
        <v>Fusidic acid</v>
      </c>
      <c r="H11" s="8">
        <f t="array" ref="H11">XLOOKUP(G11, Combined, 'Imported Data'!T3:T1000)</f>
        <v>1</v>
      </c>
    </row>
    <row r="12">
      <c r="C12" s="7" t="str">
        <f>IFERROR(__xludf.DUMMYFUNCTION("""COMPUTED_VALUE"""),"Betamethasone")</f>
        <v>Betamethasone</v>
      </c>
      <c r="D12" s="8">
        <f t="array" ref="D12">XLOOKUP(C12, Combined, 'Imported Data'!T3:T1000)</f>
        <v>6</v>
      </c>
      <c r="G12" s="7" t="str">
        <f>IFERROR(__xludf.DUMMYFUNCTION("""COMPUTED_VALUE"""),"Gemfibrozil")</f>
        <v>Gemfibrozil</v>
      </c>
      <c r="H12" s="8">
        <f t="array" ref="H12">XLOOKUP(G12, Combined, 'Imported Data'!T3:T1000)</f>
        <v>5</v>
      </c>
    </row>
    <row r="13">
      <c r="C13" s="7" t="str">
        <f>IFERROR(__xludf.DUMMYFUNCTION("""COMPUTED_VALUE"""),"Biotin")</f>
        <v>Biotin</v>
      </c>
      <c r="D13" s="8">
        <f t="array" ref="D13">XLOOKUP(C13, Combined, 'Imported Data'!T3:T1000)</f>
        <v>6</v>
      </c>
      <c r="G13" s="7" t="str">
        <f>IFERROR(__xludf.DUMMYFUNCTION("""COMPUTED_VALUE"""),"Guaifenesin")</f>
        <v>Guaifenesin</v>
      </c>
      <c r="H13" s="8">
        <f t="array" ref="H13">XLOOKUP(G13, Combined, 'Imported Data'!T3:T1000)</f>
        <v>4</v>
      </c>
    </row>
    <row r="14">
      <c r="C14" s="7" t="str">
        <f>IFERROR(__xludf.DUMMYFUNCTION("""COMPUTED_VALUE"""),"Bisoprolol")</f>
        <v>Bisoprolol</v>
      </c>
      <c r="D14" s="8">
        <f t="array" ref="D14">XLOOKUP(C14, Combined, 'Imported Data'!T3:T1000)</f>
        <v>2</v>
      </c>
      <c r="G14" s="7" t="str">
        <f>IFERROR(__xludf.DUMMYFUNCTION("""COMPUTED_VALUE"""),"Hydroxychloroquine")</f>
        <v>Hydroxychloroquine</v>
      </c>
      <c r="H14" s="8">
        <f t="array" ref="H14">XLOOKUP(G14, Combined, 'Imported Data'!T3:T1000)</f>
        <v>2</v>
      </c>
    </row>
    <row r="15">
      <c r="C15" s="7" t="str">
        <f>IFERROR(__xludf.DUMMYFUNCTION("""COMPUTED_VALUE"""),"Budesonide")</f>
        <v>Budesonide</v>
      </c>
      <c r="D15" s="8">
        <f t="array" ref="D15">XLOOKUP(C15, Combined, 'Imported Data'!T3:T1000)</f>
        <v>6</v>
      </c>
      <c r="G15" s="7" t="str">
        <f>IFERROR(__xludf.DUMMYFUNCTION("""COMPUTED_VALUE"""),"Latanoprost")</f>
        <v>Latanoprost</v>
      </c>
      <c r="H15" s="8">
        <f t="array" ref="H15">XLOOKUP(G15, Combined, 'Imported Data'!T3:T1000)</f>
        <v>0</v>
      </c>
    </row>
    <row r="16">
      <c r="C16" s="7" t="str">
        <f>IFERROR(__xludf.DUMMYFUNCTION("""COMPUTED_VALUE"""),"Buspirone")</f>
        <v>Buspirone</v>
      </c>
      <c r="D16" s="8">
        <f t="array" ref="D16">XLOOKUP(C16, Combined, 'Imported Data'!T3:T1000)</f>
        <v>6</v>
      </c>
      <c r="G16" s="7" t="str">
        <f>IFERROR(__xludf.DUMMYFUNCTION("""COMPUTED_VALUE"""),"Levodopa")</f>
        <v>Levodopa</v>
      </c>
      <c r="H16" s="8">
        <f t="array" ref="H16">XLOOKUP(G16, Combined, 'Imported Data'!T3:T1000)</f>
        <v>5</v>
      </c>
    </row>
    <row r="17">
      <c r="C17" s="7" t="str">
        <f>IFERROR(__xludf.DUMMYFUNCTION("""COMPUTED_VALUE"""),"Butorphanol")</f>
        <v>Butorphanol</v>
      </c>
      <c r="D17" s="8">
        <f t="array" ref="D17">XLOOKUP(C17, Combined, 'Imported Data'!T3:T1000)</f>
        <v>1</v>
      </c>
      <c r="G17" s="7" t="str">
        <f>IFERROR(__xludf.DUMMYFUNCTION("""COMPUTED_VALUE"""),"Lumateperone")</f>
        <v>Lumateperone</v>
      </c>
      <c r="H17" s="8">
        <f t="array" ref="H17">XLOOKUP(G17, Combined, 'Imported Data'!T3:T1000)</f>
        <v>0</v>
      </c>
    </row>
    <row r="18">
      <c r="C18" s="7" t="str">
        <f>IFERROR(__xludf.DUMMYFUNCTION("""COMPUTED_VALUE"""),"Calcitriol")</f>
        <v>Calcitriol</v>
      </c>
      <c r="D18" s="8">
        <f t="array" ref="D18">XLOOKUP(C18, Combined, 'Imported Data'!T3:T1000)</f>
        <v>5</v>
      </c>
      <c r="G18" s="7" t="str">
        <f>IFERROR(__xludf.DUMMYFUNCTION("""COMPUTED_VALUE"""),"Oxindole")</f>
        <v>Oxindole</v>
      </c>
      <c r="H18" s="8">
        <f t="array" ref="H18">XLOOKUP(G18, Combined, 'Imported Data'!T3:T1000)</f>
        <v>-2</v>
      </c>
    </row>
    <row r="19">
      <c r="C19" s="7" t="str">
        <f>IFERROR(__xludf.DUMMYFUNCTION("""COMPUTED_VALUE"""),"Captopril")</f>
        <v>Captopril</v>
      </c>
      <c r="D19" s="8">
        <f t="array" ref="D19">XLOOKUP(C19, Combined, 'Imported Data'!T3:T1000)</f>
        <v>5</v>
      </c>
      <c r="G19" s="7" t="str">
        <f>IFERROR(__xludf.DUMMYFUNCTION("""COMPUTED_VALUE"""),"Permethrin")</f>
        <v>Permethrin</v>
      </c>
      <c r="H19" s="8">
        <f t="array" ref="H19">XLOOKUP(G19, Combined, 'Imported Data'!T3:T1000)</f>
        <v>4</v>
      </c>
    </row>
    <row r="20">
      <c r="C20" s="7" t="str">
        <f>IFERROR(__xludf.DUMMYFUNCTION("""COMPUTED_VALUE"""),"Cholecalciferol")</f>
        <v>Cholecalciferol</v>
      </c>
      <c r="D20" s="8">
        <f t="array" ref="D20">XLOOKUP(C20, Combined, 'Imported Data'!T3:T1000)</f>
        <v>5</v>
      </c>
      <c r="G20" s="7" t="str">
        <f>IFERROR(__xludf.DUMMYFUNCTION("""COMPUTED_VALUE"""),"Sirolimus")</f>
        <v>Sirolimus</v>
      </c>
      <c r="H20" s="8">
        <f t="array" ref="H20">XLOOKUP(G20, Combined, 'Imported Data'!T3:T1000)</f>
        <v>2</v>
      </c>
    </row>
    <row r="21">
      <c r="C21" s="7" t="str">
        <f>IFERROR(__xludf.DUMMYFUNCTION("""COMPUTED_VALUE"""),"Ciclesonide")</f>
        <v>Ciclesonide</v>
      </c>
      <c r="D21" s="7">
        <f t="array" ref="D21">XLOOKUP(C21, Combined, 'Imported Data'!T3:T1000)</f>
        <v>2</v>
      </c>
      <c r="G21" s="7"/>
    </row>
    <row r="22">
      <c r="C22" s="7" t="str">
        <f>IFERROR(__xludf.DUMMYFUNCTION("""COMPUTED_VALUE"""),"Ciclopirox")</f>
        <v>Ciclopirox</v>
      </c>
      <c r="D22" s="8">
        <f t="array" ref="D22">XLOOKUP(C22, Combined, 'Imported Data'!T3:T1000)</f>
        <v>4</v>
      </c>
    </row>
    <row r="23">
      <c r="C23" s="7" t="str">
        <f>IFERROR(__xludf.DUMMYFUNCTION("""COMPUTED_VALUE"""),"Cilostazol")</f>
        <v>Cilostazol</v>
      </c>
      <c r="D23" s="8">
        <f t="array" ref="D23">XLOOKUP(C23, Combined, 'Imported Data'!T3:T1000)</f>
        <v>1</v>
      </c>
    </row>
    <row r="24">
      <c r="C24" s="7" t="str">
        <f>IFERROR(__xludf.DUMMYFUNCTION("""COMPUTED_VALUE"""),"Clemastine")</f>
        <v>Clemastine</v>
      </c>
      <c r="D24" s="8">
        <f t="array" ref="D24">XLOOKUP(C24, Combined, 'Imported Data'!T3:T1000)</f>
        <v>3</v>
      </c>
    </row>
    <row r="25">
      <c r="C25" s="7" t="str">
        <f>IFERROR(__xludf.DUMMYFUNCTION("""COMPUTED_VALUE"""),"Clonidine")</f>
        <v>Clonidine</v>
      </c>
      <c r="D25" s="8">
        <f t="array" ref="D25">XLOOKUP(C25, Combined, 'Imported Data'!T3:T1000)</f>
        <v>6</v>
      </c>
    </row>
    <row r="26">
      <c r="C26" s="7" t="str">
        <f>IFERROR(__xludf.DUMMYFUNCTION("""COMPUTED_VALUE"""),"Cyproheptadine")</f>
        <v>Cyproheptadine</v>
      </c>
      <c r="D26" s="8">
        <f t="array" ref="D26">XLOOKUP(C26, Combined, 'Imported Data'!T3:T1000)</f>
        <v>6</v>
      </c>
    </row>
    <row r="27">
      <c r="C27" s="7" t="str">
        <f>IFERROR(__xludf.DUMMYFUNCTION("""COMPUTED_VALUE"""),"Desflurane")</f>
        <v>Desflurane</v>
      </c>
      <c r="D27" s="8">
        <f t="array" ref="D27">XLOOKUP(C27, Combined, 'Imported Data'!T3:T1000)</f>
        <v>0</v>
      </c>
    </row>
    <row r="28">
      <c r="C28" s="7" t="str">
        <f>IFERROR(__xludf.DUMMYFUNCTION("""COMPUTED_VALUE"""),"Desloratadine")</f>
        <v>Desloratadine</v>
      </c>
      <c r="D28" s="8">
        <f t="array" ref="D28">XLOOKUP(C28, Combined, 'Imported Data'!T3:T1000)</f>
        <v>5</v>
      </c>
    </row>
    <row r="29">
      <c r="C29" s="7" t="str">
        <f>IFERROR(__xludf.DUMMYFUNCTION("""COMPUTED_VALUE"""),"Desvenlafaxine")</f>
        <v>Desvenlafaxine</v>
      </c>
      <c r="D29" s="8">
        <f t="array" ref="D29">XLOOKUP(C29, Combined, 'Imported Data'!T3:T1000)</f>
        <v>6</v>
      </c>
    </row>
    <row r="30">
      <c r="C30" s="7" t="str">
        <f>IFERROR(__xludf.DUMMYFUNCTION("""COMPUTED_VALUE"""),"Dexmedetomidine")</f>
        <v>Dexmedetomidine</v>
      </c>
      <c r="D30" s="8">
        <f t="array" ref="D30">XLOOKUP(C30, Combined, 'Imported Data'!T3:T1000)</f>
        <v>2</v>
      </c>
    </row>
    <row r="31">
      <c r="C31" s="7" t="str">
        <f>IFERROR(__xludf.DUMMYFUNCTION("""COMPUTED_VALUE"""),"Dextromethorphan")</f>
        <v>Dextromethorphan</v>
      </c>
      <c r="D31" s="8">
        <f t="array" ref="D31">XLOOKUP(C31, Combined, 'Imported Data'!T3:T1000)</f>
        <v>5</v>
      </c>
    </row>
    <row r="32">
      <c r="C32" s="7" t="str">
        <f>IFERROR(__xludf.DUMMYFUNCTION("""COMPUTED_VALUE"""),"Disopyramide")</f>
        <v>Disopyramide</v>
      </c>
      <c r="D32" s="7">
        <f t="array" ref="D32">XLOOKUP(C32, Combined, 'Imported Data'!T3:T1000)</f>
        <v>1</v>
      </c>
    </row>
    <row r="33">
      <c r="C33" s="7" t="str">
        <f>IFERROR(__xludf.DUMMYFUNCTION("""COMPUTED_VALUE"""),"Eplerenone")</f>
        <v>Eplerenone</v>
      </c>
      <c r="D33" s="8">
        <f t="array" ref="D33">XLOOKUP(C33, Combined, 'Imported Data'!T3:T1000)</f>
        <v>2</v>
      </c>
    </row>
    <row r="34">
      <c r="C34" s="7" t="str">
        <f>IFERROR(__xludf.DUMMYFUNCTION("""COMPUTED_VALUE"""),"Escitalopram")</f>
        <v>Escitalopram</v>
      </c>
      <c r="D34" s="8">
        <f t="array" ref="D34">XLOOKUP(C34, Combined, 'Imported Data'!T3:T1000)</f>
        <v>6</v>
      </c>
    </row>
    <row r="35">
      <c r="C35" s="7" t="str">
        <f>IFERROR(__xludf.DUMMYFUNCTION("""COMPUTED_VALUE"""),"Ethambutol")</f>
        <v>Ethambutol</v>
      </c>
      <c r="D35" s="8">
        <f t="array" ref="D35">XLOOKUP(C35, Combined, 'Imported Data'!T3:T1000)</f>
        <v>1</v>
      </c>
    </row>
    <row r="36">
      <c r="C36" s="7" t="str">
        <f>IFERROR(__xludf.DUMMYFUNCTION("""COMPUTED_VALUE"""),"Ethosuximide")</f>
        <v>Ethosuximide</v>
      </c>
      <c r="D36" s="8">
        <f t="array" ref="D36">XLOOKUP(C36, Combined, 'Imported Data'!T3:T1000)</f>
        <v>2</v>
      </c>
    </row>
    <row r="37">
      <c r="C37" s="7" t="str">
        <f>IFERROR(__xludf.DUMMYFUNCTION("""COMPUTED_VALUE"""),"Felbamate")</f>
        <v>Felbamate</v>
      </c>
      <c r="D37" s="8">
        <f t="array" ref="D37">XLOOKUP(C37, Combined, 'Imported Data'!T3:T1000)</f>
        <v>1</v>
      </c>
    </row>
    <row r="38">
      <c r="C38" s="7" t="str">
        <f>IFERROR(__xludf.DUMMYFUNCTION("""COMPUTED_VALUE"""),"Fexofenadine")</f>
        <v>Fexofenadine</v>
      </c>
      <c r="D38" s="8">
        <f t="array" ref="D38">XLOOKUP(C38, Combined, 'Imported Data'!T3:T1000)</f>
        <v>5</v>
      </c>
    </row>
    <row r="39">
      <c r="C39" s="7" t="str">
        <f>IFERROR(__xludf.DUMMYFUNCTION("""COMPUTED_VALUE"""),"Flunarizine")</f>
        <v>Flunarizine</v>
      </c>
      <c r="D39" s="8">
        <f t="array" ref="D39">XLOOKUP(C39, Combined, 'Imported Data'!T3:T1000)</f>
        <v>2</v>
      </c>
    </row>
    <row r="40">
      <c r="C40" s="7" t="str">
        <f>IFERROR(__xludf.DUMMYFUNCTION("""COMPUTED_VALUE"""),"Fluvoxamine")</f>
        <v>Fluvoxamine</v>
      </c>
      <c r="D40" s="8">
        <f t="array" ref="D40">XLOOKUP(C40, Combined, 'Imported Data'!T3:T1000)</f>
        <v>6</v>
      </c>
    </row>
    <row r="41">
      <c r="C41" s="7" t="str">
        <f>IFERROR(__xludf.DUMMYFUNCTION("""COMPUTED_VALUE"""),"Gabapentin")</f>
        <v>Gabapentin</v>
      </c>
      <c r="D41" s="8">
        <f t="array" ref="D41">XLOOKUP(C41, Combined, 'Imported Data'!T3:T1000)</f>
        <v>6</v>
      </c>
    </row>
    <row r="42">
      <c r="C42" s="7" t="str">
        <f>IFERROR(__xludf.DUMMYFUNCTION("""COMPUTED_VALUE"""),"gamma-Hydroxybutyric acid")</f>
        <v>gamma-Hydroxybutyric acid</v>
      </c>
      <c r="D42" s="8">
        <f t="array" ref="D42">XLOOKUP(C42, Combined, 'Imported Data'!T3:T1000)</f>
        <v>2</v>
      </c>
    </row>
    <row r="43">
      <c r="C43" s="7" t="str">
        <f>IFERROR(__xludf.DUMMYFUNCTION("""COMPUTED_VALUE"""),"Glutamic acid")</f>
        <v>Glutamic acid</v>
      </c>
      <c r="D43" s="8">
        <f t="array" ref="D43">XLOOKUP(C43, Combined, 'Imported Data'!T3:T1000)</f>
        <v>6</v>
      </c>
    </row>
    <row r="44">
      <c r="C44" s="7" t="str">
        <f>IFERROR(__xludf.DUMMYFUNCTION("""COMPUTED_VALUE"""),"Guanabenz")</f>
        <v>Guanabenz</v>
      </c>
      <c r="D44" s="8">
        <f t="array" ref="D44">XLOOKUP(C44, Combined, 'Imported Data'!T3:T1000)</f>
        <v>1</v>
      </c>
    </row>
    <row r="45">
      <c r="C45" s="7" t="str">
        <f>IFERROR(__xludf.DUMMYFUNCTION("""COMPUTED_VALUE"""),"Guanfacine")</f>
        <v>Guanfacine</v>
      </c>
      <c r="D45" s="8">
        <f t="array" ref="D45">XLOOKUP(C45, Combined, 'Imported Data'!T3:T1000)</f>
        <v>4</v>
      </c>
    </row>
    <row r="46">
      <c r="C46" s="7" t="str">
        <f>IFERROR(__xludf.DUMMYFUNCTION("""COMPUTED_VALUE"""),"Human immunoglobulin G")</f>
        <v>Human immunoglobulin G</v>
      </c>
      <c r="D46" s="8">
        <f t="array" ref="D46">XLOOKUP(C46, Combined, 'Imported Data'!T3:T1000)</f>
        <v>2</v>
      </c>
    </row>
    <row r="47">
      <c r="C47" s="7" t="str">
        <f>IFERROR(__xludf.DUMMYFUNCTION("""COMPUTED_VALUE"""),"Hydroxyurea")</f>
        <v>Hydroxyurea</v>
      </c>
      <c r="D47" s="8">
        <f t="array" ref="D47">XLOOKUP(C47, Combined, 'Imported Data'!T3:T1000)</f>
        <v>3</v>
      </c>
    </row>
    <row r="48">
      <c r="C48" s="7" t="str">
        <f>IFERROR(__xludf.DUMMYFUNCTION("""COMPUTED_VALUE"""),"Hydroxyzine")</f>
        <v>Hydroxyzine</v>
      </c>
      <c r="D48" s="7">
        <f t="array" ref="D48">XLOOKUP(C48, Combined, 'Imported Data'!T3:T1000)</f>
        <v>6</v>
      </c>
    </row>
    <row r="49">
      <c r="C49" s="7" t="str">
        <f>IFERROR(__xludf.DUMMYFUNCTION("""COMPUTED_VALUE"""),"Insulin human")</f>
        <v>Insulin human</v>
      </c>
      <c r="D49" s="8">
        <f t="array" ref="D49">XLOOKUP(C49, Combined, 'Imported Data'!T3:T1000)</f>
        <v>3</v>
      </c>
    </row>
    <row r="50">
      <c r="C50" s="7" t="str">
        <f>IFERROR(__xludf.DUMMYFUNCTION("""COMPUTED_VALUE"""),"Ketamine")</f>
        <v>Ketamine</v>
      </c>
      <c r="D50" s="8">
        <f t="array" ref="D50">XLOOKUP(C50, Combined, 'Imported Data'!T3:T1000)</f>
        <v>0</v>
      </c>
    </row>
    <row r="51">
      <c r="C51" s="7" t="str">
        <f>IFERROR(__xludf.DUMMYFUNCTION("""COMPUTED_VALUE"""),"Levamisole")</f>
        <v>Levamisole</v>
      </c>
      <c r="D51" s="7">
        <f t="array" ref="D51">XLOOKUP(C51, Combined, 'Imported Data'!T3:T1000)</f>
        <v>1</v>
      </c>
    </row>
    <row r="52">
      <c r="C52" s="7" t="str">
        <f>IFERROR(__xludf.DUMMYFUNCTION("""COMPUTED_VALUE"""),"Levetiracetam")</f>
        <v>Levetiracetam</v>
      </c>
      <c r="D52" s="8">
        <f t="array" ref="D52">XLOOKUP(C52, Combined, 'Imported Data'!T3:T1000)</f>
        <v>4</v>
      </c>
    </row>
    <row r="53">
      <c r="C53" s="7" t="str">
        <f>IFERROR(__xludf.DUMMYFUNCTION("""COMPUTED_VALUE"""),"Lidocaine")</f>
        <v>Lidocaine</v>
      </c>
      <c r="D53" s="8">
        <f t="array" ref="D53">XLOOKUP(C53, Combined, 'Imported Data'!T3:T1000)</f>
        <v>5</v>
      </c>
    </row>
    <row r="54">
      <c r="C54" s="7" t="str">
        <f>IFERROR(__xludf.DUMMYFUNCTION("""COMPUTED_VALUE"""),"Lisdexamfetamine")</f>
        <v>Lisdexamfetamine</v>
      </c>
      <c r="D54" s="8">
        <f t="array" ref="D54">XLOOKUP(C54, Combined, 'Imported Data'!T3:T1000)</f>
        <v>3</v>
      </c>
    </row>
    <row r="55">
      <c r="C55" s="7" t="str">
        <f>IFERROR(__xludf.DUMMYFUNCTION("""COMPUTED_VALUE"""),"Loratadine")</f>
        <v>Loratadine</v>
      </c>
      <c r="D55" s="8">
        <f t="array" ref="D55">XLOOKUP(C55, Combined, 'Imported Data'!T3:T1000)</f>
        <v>6</v>
      </c>
    </row>
    <row r="56">
      <c r="C56" s="7" t="str">
        <f>IFERROR(__xludf.DUMMYFUNCTION("""COMPUTED_VALUE"""),"Lovastatin")</f>
        <v>Lovastatin</v>
      </c>
      <c r="D56" s="8">
        <f t="array" ref="D56">XLOOKUP(C56, Combined, 'Imported Data'!T3:T1000)</f>
        <v>6</v>
      </c>
    </row>
    <row r="57">
      <c r="C57" s="7" t="str">
        <f>IFERROR(__xludf.DUMMYFUNCTION("""COMPUTED_VALUE"""),"Memantine")</f>
        <v>Memantine</v>
      </c>
      <c r="D57" s="8">
        <f t="array" ref="D57">XLOOKUP(C57, Combined, 'Imported Data'!T3:T1000)</f>
        <v>4</v>
      </c>
    </row>
    <row r="58">
      <c r="C58" s="7" t="str">
        <f>IFERROR(__xludf.DUMMYFUNCTION("""COMPUTED_VALUE"""),"Mepivacaine")</f>
        <v>Mepivacaine</v>
      </c>
      <c r="D58" s="8">
        <f t="array" ref="D58">XLOOKUP(C58, Combined, 'Imported Data'!T3:T1000)</f>
        <v>0</v>
      </c>
    </row>
    <row r="59">
      <c r="C59" s="7" t="str">
        <f>IFERROR(__xludf.DUMMYFUNCTION("""COMPUTED_VALUE"""),"Metformin")</f>
        <v>Metformin</v>
      </c>
      <c r="D59" s="8">
        <f t="array" ref="D59">XLOOKUP(C59, Combined, 'Imported Data'!T3:T1000)</f>
        <v>6</v>
      </c>
    </row>
    <row r="60">
      <c r="C60" s="7" t="str">
        <f>IFERROR(__xludf.DUMMYFUNCTION("""COMPUTED_VALUE"""),"Methsuximide")</f>
        <v>Methsuximide</v>
      </c>
      <c r="D60" s="8">
        <f t="array" ref="D60">XLOOKUP(C60, Combined, 'Imported Data'!T3:T1000)</f>
        <v>1</v>
      </c>
    </row>
    <row r="61">
      <c r="C61" s="7" t="str">
        <f>IFERROR(__xludf.DUMMYFUNCTION("""COMPUTED_VALUE"""),"Methylprednisolone")</f>
        <v>Methylprednisolone</v>
      </c>
      <c r="D61" s="8">
        <f t="array" ref="D61">XLOOKUP(C61, Combined, 'Imported Data'!T3:T1000)</f>
        <v>4</v>
      </c>
    </row>
    <row r="62">
      <c r="C62" s="7" t="str">
        <f>IFERROR(__xludf.DUMMYFUNCTION("""COMPUTED_VALUE"""),"Metoprolol")</f>
        <v>Metoprolol</v>
      </c>
      <c r="D62" s="8">
        <f t="array" ref="D62">XLOOKUP(C62, Combined, 'Imported Data'!T3:T1000)</f>
        <v>6</v>
      </c>
    </row>
    <row r="63">
      <c r="C63" s="7" t="str">
        <f>IFERROR(__xludf.DUMMYFUNCTION("""COMPUTED_VALUE"""),"Metyrapone")</f>
        <v>Metyrapone</v>
      </c>
      <c r="D63" s="8">
        <f t="array" ref="D63">XLOOKUP(C63, Combined, 'Imported Data'!T3:T1000)</f>
        <v>1</v>
      </c>
    </row>
    <row r="64">
      <c r="C64" s="7" t="str">
        <f>IFERROR(__xludf.DUMMYFUNCTION("""COMPUTED_VALUE"""),"Midodrine")</f>
        <v>Midodrine</v>
      </c>
      <c r="D64" s="8">
        <f t="array" ref="D64">XLOOKUP(C64, Combined, 'Imported Data'!T3:T1000)</f>
        <v>5</v>
      </c>
    </row>
    <row r="65">
      <c r="C65" s="7" t="str">
        <f>IFERROR(__xludf.DUMMYFUNCTION("""COMPUTED_VALUE"""),"Misoprostol")</f>
        <v>Misoprostol</v>
      </c>
      <c r="D65" s="8">
        <f t="array" ref="D65">XLOOKUP(C65, Combined, 'Imported Data'!T3:T1000)</f>
        <v>0</v>
      </c>
    </row>
    <row r="66">
      <c r="C66" s="7" t="str">
        <f>IFERROR(__xludf.DUMMYFUNCTION("""COMPUTED_VALUE"""),"Moclobemide")</f>
        <v>Moclobemide</v>
      </c>
      <c r="D66" s="8">
        <f t="array" ref="D66">XLOOKUP(C66, Combined, 'Imported Data'!T3:T1000)</f>
        <v>1</v>
      </c>
    </row>
    <row r="67">
      <c r="C67" s="7" t="str">
        <f>IFERROR(__xludf.DUMMYFUNCTION("""COMPUTED_VALUE"""),"Nadolol")</f>
        <v>Nadolol</v>
      </c>
      <c r="D67" s="7">
        <f t="array" ref="D67">XLOOKUP(C67, Combined, 'Imported Data'!T3:T1000)</f>
        <v>3</v>
      </c>
    </row>
    <row r="68">
      <c r="C68" s="7" t="str">
        <f>IFERROR(__xludf.DUMMYFUNCTION("""COMPUTED_VALUE"""),"Nalbuphine")</f>
        <v>Nalbuphine</v>
      </c>
      <c r="D68" s="8">
        <f t="array" ref="D68">XLOOKUP(C68, Combined, 'Imported Data'!T3:T1000)</f>
        <v>0</v>
      </c>
    </row>
    <row r="69">
      <c r="C69" s="7" t="str">
        <f>IFERROR(__xludf.DUMMYFUNCTION("""COMPUTED_VALUE"""),"Naloxone")</f>
        <v>Naloxone</v>
      </c>
      <c r="D69" s="8">
        <f t="array" ref="D69">XLOOKUP(C69, Combined, 'Imported Data'!T3:T1000)</f>
        <v>3</v>
      </c>
    </row>
    <row r="70">
      <c r="C70" s="7" t="str">
        <f>IFERROR(__xludf.DUMMYFUNCTION("""COMPUTED_VALUE"""),"Nitroglycerin")</f>
        <v>Nitroglycerin</v>
      </c>
      <c r="D70" s="8">
        <f t="array" ref="D70">XLOOKUP(C70, Combined, 'Imported Data'!T3:T1000)</f>
        <v>0</v>
      </c>
    </row>
    <row r="71">
      <c r="C71" s="7" t="str">
        <f>IFERROR(__xludf.DUMMYFUNCTION("""COMPUTED_VALUE"""),"Oseltamivir")</f>
        <v>Oseltamivir</v>
      </c>
      <c r="D71" s="8">
        <f t="array" ref="D71">XLOOKUP(C71, Combined, 'Imported Data'!T3:T1000)</f>
        <v>6</v>
      </c>
    </row>
    <row r="72">
      <c r="C72" s="7" t="str">
        <f>IFERROR(__xludf.DUMMYFUNCTION("""COMPUTED_VALUE"""),"Oxybutynin")</f>
        <v>Oxybutynin</v>
      </c>
      <c r="D72" s="8">
        <f t="array" ref="D72">XLOOKUP(C72, Combined, 'Imported Data'!T3:T1000)</f>
        <v>1</v>
      </c>
    </row>
    <row r="73">
      <c r="C73" s="7" t="str">
        <f>IFERROR(__xludf.DUMMYFUNCTION("""COMPUTED_VALUE"""),"Oxymetazoline")</f>
        <v>Oxymetazoline</v>
      </c>
      <c r="D73" s="8">
        <f t="array" ref="D73">XLOOKUP(C73, Combined, 'Imported Data'!T3:T1000)</f>
        <v>1</v>
      </c>
    </row>
    <row r="74">
      <c r="C74" s="7" t="str">
        <f>IFERROR(__xludf.DUMMYFUNCTION("""COMPUTED_VALUE"""),"Paricalcitol")</f>
        <v>Paricalcitol</v>
      </c>
      <c r="D74" s="8">
        <f t="array" ref="D74">XLOOKUP(C74, Combined, 'Imported Data'!T3:T1000)</f>
        <v>1</v>
      </c>
    </row>
    <row r="75">
      <c r="C75" s="7" t="str">
        <f>IFERROR(__xludf.DUMMYFUNCTION("""COMPUTED_VALUE"""),"Pentobarbital")</f>
        <v>Pentobarbital</v>
      </c>
      <c r="D75" s="8">
        <f t="array" ref="D75">XLOOKUP(C75, Combined, 'Imported Data'!T3:T1000)</f>
        <v>0</v>
      </c>
    </row>
    <row r="76">
      <c r="C76" s="7" t="str">
        <f>IFERROR(__xludf.DUMMYFUNCTION("""COMPUTED_VALUE"""),"Perphenazine")</f>
        <v>Perphenazine</v>
      </c>
      <c r="D76" s="8">
        <f t="array" ref="D76">XLOOKUP(C76, Combined, 'Imported Data'!T3:T1000)</f>
        <v>0</v>
      </c>
    </row>
    <row r="77">
      <c r="C77" s="7" t="str">
        <f>IFERROR(__xludf.DUMMYFUNCTION("""COMPUTED_VALUE"""),"Phentolamine")</f>
        <v>Phentolamine</v>
      </c>
      <c r="D77" s="8">
        <f t="array" ref="D77">XLOOKUP(C77, Combined, 'Imported Data'!T3:T1000)</f>
        <v>0</v>
      </c>
    </row>
    <row r="78">
      <c r="C78" s="7" t="str">
        <f>IFERROR(__xludf.DUMMYFUNCTION("""COMPUTED_VALUE"""),"Pilocarpine")</f>
        <v>Pilocarpine</v>
      </c>
      <c r="D78" s="8">
        <f t="array" ref="D78">XLOOKUP(C78, Combined, 'Imported Data'!T3:T1000)</f>
        <v>0</v>
      </c>
    </row>
    <row r="79">
      <c r="C79" s="7" t="str">
        <f>IFERROR(__xludf.DUMMYFUNCTION("""COMPUTED_VALUE"""),"Praziquantel")</f>
        <v>Praziquantel</v>
      </c>
      <c r="D79" s="8">
        <f t="array" ref="D79">XLOOKUP(C79, Combined, 'Imported Data'!T3:T1000)</f>
        <v>1</v>
      </c>
    </row>
    <row r="80">
      <c r="C80" s="7" t="str">
        <f>IFERROR(__xludf.DUMMYFUNCTION("""COMPUTED_VALUE"""),"Pregabalin")</f>
        <v>Pregabalin</v>
      </c>
      <c r="D80" s="8">
        <f t="array" ref="D80">XLOOKUP(C80, Combined, 'Imported Data'!T3:T1000)</f>
        <v>4</v>
      </c>
    </row>
    <row r="81">
      <c r="C81" s="7" t="str">
        <f>IFERROR(__xludf.DUMMYFUNCTION("""COMPUTED_VALUE"""),"Primidone")</f>
        <v>Primidone</v>
      </c>
      <c r="D81" s="8">
        <f t="array" ref="D81">XLOOKUP(C81, Combined, 'Imported Data'!T3:T1000)</f>
        <v>2</v>
      </c>
    </row>
    <row r="82">
      <c r="C82" s="7" t="str">
        <f>IFERROR(__xludf.DUMMYFUNCTION("""COMPUTED_VALUE"""),"Procaine")</f>
        <v>Procaine</v>
      </c>
      <c r="D82" s="7">
        <f t="array" ref="D82">XLOOKUP(C82, Combined, 'Imported Data'!T3:T1000)</f>
        <v>0</v>
      </c>
    </row>
    <row r="83">
      <c r="C83" s="7" t="str">
        <f>IFERROR(__xludf.DUMMYFUNCTION("""COMPUTED_VALUE"""),"Progesterone")</f>
        <v>Progesterone</v>
      </c>
      <c r="D83" s="8">
        <f t="array" ref="D83">XLOOKUP(C83, Combined, 'Imported Data'!T3:T1000)</f>
        <v>2</v>
      </c>
    </row>
    <row r="84">
      <c r="C84" s="7" t="str">
        <f>IFERROR(__xludf.DUMMYFUNCTION("""COMPUTED_VALUE"""),"Propofol")</f>
        <v>Propofol</v>
      </c>
      <c r="D84" s="8">
        <f t="array" ref="D84">XLOOKUP(C84, Combined, 'Imported Data'!T3:T1000)</f>
        <v>0</v>
      </c>
    </row>
    <row r="85">
      <c r="C85" s="7" t="str">
        <f>IFERROR(__xludf.DUMMYFUNCTION("""COMPUTED_VALUE"""),"Propranolol")</f>
        <v>Propranolol</v>
      </c>
      <c r="D85" s="8">
        <f t="array" ref="D85">XLOOKUP(C85, Combined, 'Imported Data'!T3:T1000)</f>
        <v>6</v>
      </c>
    </row>
    <row r="86">
      <c r="C86" s="7" t="str">
        <f>IFERROR(__xludf.DUMMYFUNCTION("""COMPUTED_VALUE"""),"Pseudoephedrine")</f>
        <v>Pseudoephedrine</v>
      </c>
      <c r="D86" s="8">
        <f t="array" ref="D86">XLOOKUP(C86, Combined, 'Imported Data'!T3:T1000)</f>
        <v>3</v>
      </c>
    </row>
    <row r="87">
      <c r="C87" s="7" t="str">
        <f>IFERROR(__xludf.DUMMYFUNCTION("""COMPUTED_VALUE"""),"Pyridostigmine")</f>
        <v>Pyridostigmine</v>
      </c>
      <c r="D87" s="8">
        <f t="array" ref="D87">XLOOKUP(C87, Combined, 'Imported Data'!T3:T1000)</f>
        <v>2</v>
      </c>
    </row>
    <row r="88">
      <c r="C88" s="7" t="str">
        <f>IFERROR(__xludf.DUMMYFUNCTION("""COMPUTED_VALUE"""),"Pyridoxine")</f>
        <v>Pyridoxine</v>
      </c>
      <c r="D88" s="8">
        <f t="array" ref="D88">XLOOKUP(C88, Combined, 'Imported Data'!T3:T1000)</f>
        <v>6</v>
      </c>
    </row>
    <row r="89">
      <c r="C89" s="7" t="str">
        <f>IFERROR(__xludf.DUMMYFUNCTION("""COMPUTED_VALUE"""),"Quinine")</f>
        <v>Quinine</v>
      </c>
      <c r="D89" s="8">
        <f t="array" ref="D89">XLOOKUP(C89, Combined, 'Imported Data'!T3:T1000)</f>
        <v>0</v>
      </c>
    </row>
    <row r="90">
      <c r="C90" s="7" t="str">
        <f>IFERROR(__xludf.DUMMYFUNCTION("""COMPUTED_VALUE"""),"Remifentanil")</f>
        <v>Remifentanil</v>
      </c>
      <c r="D90" s="8">
        <f t="array" ref="D90">XLOOKUP(C90, Combined, 'Imported Data'!T3:T1000)</f>
        <v>0</v>
      </c>
    </row>
    <row r="91">
      <c r="C91" s="7" t="str">
        <f>IFERROR(__xludf.DUMMYFUNCTION("""COMPUTED_VALUE"""),"Rivastigmine")</f>
        <v>Rivastigmine</v>
      </c>
      <c r="D91" s="8">
        <f t="array" ref="D91">XLOOKUP(C91, Combined, 'Imported Data'!T3:T1000)</f>
        <v>2</v>
      </c>
    </row>
    <row r="92">
      <c r="C92" s="7" t="str">
        <f>IFERROR(__xludf.DUMMYFUNCTION("""COMPUTED_VALUE"""),"Ropivacaine")</f>
        <v>Ropivacaine</v>
      </c>
      <c r="D92" s="8">
        <f t="array" ref="D92">XLOOKUP(C92, Combined, 'Imported Data'!T3:T1000)</f>
        <v>0</v>
      </c>
    </row>
    <row r="93">
      <c r="C93" s="7" t="str">
        <f>IFERROR(__xludf.DUMMYFUNCTION("""COMPUTED_VALUE"""),"Sertraline")</f>
        <v>Sertraline</v>
      </c>
      <c r="D93" s="8">
        <f t="array" ref="D93">XLOOKUP(C93, Combined, 'Imported Data'!T3:T1000)</f>
        <v>6</v>
      </c>
    </row>
    <row r="94">
      <c r="C94" s="7" t="str">
        <f>IFERROR(__xludf.DUMMYFUNCTION("""COMPUTED_VALUE"""),"Sevoflurane")</f>
        <v>Sevoflurane</v>
      </c>
      <c r="D94" s="8">
        <f t="array" ref="D94">XLOOKUP(C94, Combined, 'Imported Data'!T3:T1000)</f>
        <v>0</v>
      </c>
    </row>
    <row r="95">
      <c r="C95" s="7" t="str">
        <f>IFERROR(__xludf.DUMMYFUNCTION("""COMPUTED_VALUE"""),"Succinic acid")</f>
        <v>Succinic acid</v>
      </c>
      <c r="D95" s="8">
        <f t="array" ref="D95">XLOOKUP(C95, Combined, 'Imported Data'!T3:T1000)</f>
        <v>3</v>
      </c>
    </row>
    <row r="96">
      <c r="C96" s="7" t="str">
        <f>IFERROR(__xludf.DUMMYFUNCTION("""COMPUTED_VALUE"""),"Terbinafine")</f>
        <v>Terbinafine</v>
      </c>
      <c r="D96" s="8">
        <f t="array" ref="D96">XLOOKUP(C96, Combined, 'Imported Data'!T3:T1000)</f>
        <v>2</v>
      </c>
    </row>
    <row r="97">
      <c r="C97" s="7" t="str">
        <f>IFERROR(__xludf.DUMMYFUNCTION("""COMPUTED_VALUE"""),"Tramadol")</f>
        <v>Tramadol</v>
      </c>
      <c r="D97" s="8">
        <f t="array" ref="D97">XLOOKUP(C97, Combined, 'Imported Data'!T3:T1000)</f>
        <v>1</v>
      </c>
    </row>
    <row r="98">
      <c r="C98" s="7" t="str">
        <f>IFERROR(__xludf.DUMMYFUNCTION("""COMPUTED_VALUE"""),"Tranexamic acid")</f>
        <v>Tranexamic acid</v>
      </c>
      <c r="D98" s="8">
        <f t="array" ref="D98">XLOOKUP(C98, Combined, 'Imported Data'!T3:T1000)</f>
        <v>2</v>
      </c>
    </row>
    <row r="99">
      <c r="C99" s="7" t="str">
        <f>IFERROR(__xludf.DUMMYFUNCTION("""COMPUTED_VALUE"""),"Tretinoin")</f>
        <v>Tretinoin</v>
      </c>
      <c r="D99" s="8">
        <f t="array" ref="D99">XLOOKUP(C99, Combined, 'Imported Data'!T3:T1000)</f>
        <v>3</v>
      </c>
    </row>
    <row r="100">
      <c r="C100" s="7" t="str">
        <f>IFERROR(__xludf.DUMMYFUNCTION("""COMPUTED_VALUE"""),"Triamcinolone")</f>
        <v>Triamcinolone</v>
      </c>
      <c r="D100" s="8">
        <f t="array" ref="D100">XLOOKUP(C100, Combined, 'Imported Data'!T3:T1000)</f>
        <v>6</v>
      </c>
    </row>
    <row r="101">
      <c r="C101" s="7" t="str">
        <f>IFERROR(__xludf.DUMMYFUNCTION("""COMPUTED_VALUE"""),"Trihexyphenidyl")</f>
        <v>Trihexyphenidyl</v>
      </c>
      <c r="D101" s="8">
        <f t="array" ref="D101">XLOOKUP(C101, Combined, 'Imported Data'!T3:T1000)</f>
        <v>2</v>
      </c>
    </row>
    <row r="102">
      <c r="C102" s="7" t="str">
        <f>IFERROR(__xludf.DUMMYFUNCTION("""COMPUTED_VALUE"""),"Tropicamide")</f>
        <v>Tropicamide</v>
      </c>
      <c r="D102" s="8">
        <f t="array" ref="D102">XLOOKUP(C102, Combined, 'Imported Data'!T3:T1000)</f>
        <v>1</v>
      </c>
    </row>
    <row r="103">
      <c r="C103" s="7" t="str">
        <f>IFERROR(__xludf.DUMMYFUNCTION("""COMPUTED_VALUE"""),"Vigabatrin")</f>
        <v>Vigabatrin</v>
      </c>
      <c r="D103" s="8">
        <f t="array" ref="D103">XLOOKUP(C103, Combined, 'Imported Data'!T3:T1000)</f>
        <v>0</v>
      </c>
    </row>
  </sheetData>
  <drawing r:id="rId1"/>
</worksheet>
</file>