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roncrowder/Desktop/"/>
    </mc:Choice>
  </mc:AlternateContent>
  <xr:revisionPtr revIDLastSave="0" documentId="8_{4D8A9490-AD97-924B-81E7-E6440C1EB5DE}" xr6:coauthVersionLast="47" xr6:coauthVersionMax="47" xr10:uidLastSave="{00000000-0000-0000-0000-000000000000}"/>
  <bookViews>
    <workbookView xWindow="1900" yWindow="1820" windowWidth="27240" windowHeight="16440" xr2:uid="{779AFF7D-9209-E846-B80B-BB78AAA251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17" i="1"/>
  <c r="D16" i="1"/>
  <c r="D15" i="1"/>
  <c r="D14" i="1"/>
  <c r="C14" i="1"/>
  <c r="D12" i="1"/>
  <c r="D10" i="1"/>
  <c r="C10" i="1"/>
  <c r="D9" i="1"/>
  <c r="C9" i="1"/>
  <c r="C8" i="1"/>
  <c r="C7" i="1"/>
  <c r="C6" i="1"/>
  <c r="D4" i="1"/>
  <c r="C4" i="1"/>
  <c r="D3" i="1"/>
  <c r="C3" i="1"/>
</calcChain>
</file>

<file path=xl/sharedStrings.xml><?xml version="1.0" encoding="utf-8"?>
<sst xmlns="http://schemas.openxmlformats.org/spreadsheetml/2006/main" count="20" uniqueCount="20">
  <si>
    <t>Variant
NM_015133.5</t>
  </si>
  <si>
    <t>E27X</t>
  </si>
  <si>
    <t>R578C</t>
  </si>
  <si>
    <t>R1146C</t>
  </si>
  <si>
    <t>N with clinical data available</t>
  </si>
  <si>
    <t>Hypotonia</t>
  </si>
  <si>
    <t>Hypertonia</t>
  </si>
  <si>
    <t>Ataxia</t>
  </si>
  <si>
    <t>Tremor</t>
  </si>
  <si>
    <t>Myoclonus</t>
  </si>
  <si>
    <t>Dystonia</t>
  </si>
  <si>
    <t>Anxiety</t>
  </si>
  <si>
    <t>Microcephaly</t>
  </si>
  <si>
    <t>Delay in gross motor</t>
  </si>
  <si>
    <t>Delay in fine motor</t>
  </si>
  <si>
    <t>Delay in language</t>
  </si>
  <si>
    <t>Intellectual disability</t>
  </si>
  <si>
    <t>ADHD</t>
  </si>
  <si>
    <t>Autism</t>
  </si>
  <si>
    <t>Sensory integration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</si>
</sst>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2" fillId="2" borderId="2" xfId="0" applyFont="1" applyFill="1" applyBorder="1"/>
    <xf numFmtId="0" fontId="0" fillId="3" borderId="0" xfId="0" applyFill="1"/>
    <xf numFmtId="0" fontId="3" fillId="4" borderId="3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4" borderId="6" xfId="0" applyFill="1" applyBorder="1" applyAlignment="1">
      <alignment wrapText="1"/>
    </xf>
    <xf numFmtId="9" fontId="0" fillId="0" borderId="1" xfId="0" applyNumberFormat="1" applyBorder="1"/>
    <xf numFmtId="9" fontId="0" fillId="0" borderId="2" xfId="1" applyFont="1" applyBorder="1"/>
    <xf numFmtId="9" fontId="0" fillId="0" borderId="1" xfId="1" applyFont="1" applyBorder="1"/>
    <xf numFmtId="0" fontId="0" fillId="4" borderId="1" xfId="0" applyFill="1" applyBorder="1" applyAlignment="1">
      <alignment wrapText="1"/>
    </xf>
    <xf numFmtId="0" fontId="0" fillId="0" borderId="2" xfId="0" applyBorder="1"/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89CE-A702-BF4F-8A92-B486B9968F15}">
  <dimension ref="A1:H23"/>
  <sheetViews>
    <sheetView tabSelected="1" workbookViewId="0">
      <selection activeCell="F19" sqref="F19"/>
    </sheetView>
  </sheetViews>
  <sheetFormatPr baseColWidth="10" defaultColWidth="11.5" defaultRowHeight="16" x14ac:dyDescent="0.2"/>
  <cols>
    <col min="1" max="1" width="26.1640625" style="16" customWidth="1"/>
    <col min="2" max="2" width="8.33203125" customWidth="1"/>
    <col min="3" max="3" width="8.6640625" customWidth="1"/>
    <col min="4" max="4" width="8" customWidth="1"/>
  </cols>
  <sheetData>
    <row r="1" spans="1:8" ht="32" x14ac:dyDescent="0.2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  <c r="G1" s="4"/>
      <c r="H1" s="4"/>
    </row>
    <row r="2" spans="1:8" ht="17" thickBot="1" x14ac:dyDescent="0.25">
      <c r="A2" s="5" t="s">
        <v>4</v>
      </c>
      <c r="B2" s="6">
        <v>1</v>
      </c>
      <c r="C2" s="7">
        <v>5</v>
      </c>
      <c r="D2" s="8">
        <v>12</v>
      </c>
      <c r="E2" s="4"/>
      <c r="F2" s="4"/>
      <c r="G2" s="4"/>
      <c r="H2" s="4"/>
    </row>
    <row r="3" spans="1:8" ht="17" x14ac:dyDescent="0.2">
      <c r="A3" s="9" t="s">
        <v>5</v>
      </c>
      <c r="B3" s="10">
        <v>1</v>
      </c>
      <c r="C3" s="11">
        <f>1/5</f>
        <v>0.2</v>
      </c>
      <c r="D3" s="12">
        <f>8/12</f>
        <v>0.66666666666666663</v>
      </c>
      <c r="E3" s="4"/>
      <c r="F3" s="4"/>
      <c r="G3" s="4"/>
      <c r="H3" s="4"/>
    </row>
    <row r="4" spans="1:8" ht="17" x14ac:dyDescent="0.2">
      <c r="A4" s="13" t="s">
        <v>6</v>
      </c>
      <c r="B4" s="8">
        <v>0</v>
      </c>
      <c r="C4" s="11">
        <f>3/5</f>
        <v>0.6</v>
      </c>
      <c r="D4" s="12">
        <f>1/12</f>
        <v>8.3333333333333329E-2</v>
      </c>
      <c r="E4" s="4"/>
      <c r="F4" s="4"/>
      <c r="G4" s="4"/>
      <c r="H4" s="4"/>
    </row>
    <row r="5" spans="1:8" ht="17" x14ac:dyDescent="0.2">
      <c r="A5" s="13" t="s">
        <v>7</v>
      </c>
      <c r="B5" s="10">
        <v>1</v>
      </c>
      <c r="C5" s="14">
        <v>0</v>
      </c>
      <c r="D5" s="8">
        <v>0</v>
      </c>
      <c r="E5" s="4"/>
      <c r="F5" s="4"/>
      <c r="G5" s="4"/>
      <c r="H5" s="4"/>
    </row>
    <row r="6" spans="1:8" ht="17" x14ac:dyDescent="0.2">
      <c r="A6" s="13" t="s">
        <v>8</v>
      </c>
      <c r="B6" s="8">
        <v>0</v>
      </c>
      <c r="C6" s="11">
        <f>2/5</f>
        <v>0.4</v>
      </c>
      <c r="D6" s="8">
        <v>0</v>
      </c>
      <c r="E6" s="4"/>
      <c r="F6" s="4"/>
      <c r="G6" s="4"/>
      <c r="H6" s="4"/>
    </row>
    <row r="7" spans="1:8" ht="17" x14ac:dyDescent="0.2">
      <c r="A7" s="13" t="s">
        <v>9</v>
      </c>
      <c r="B7" s="8">
        <v>0</v>
      </c>
      <c r="C7" s="11">
        <f>2/5</f>
        <v>0.4</v>
      </c>
      <c r="D7" s="8">
        <v>0</v>
      </c>
      <c r="E7" s="4"/>
      <c r="F7" s="4"/>
      <c r="G7" s="4"/>
      <c r="H7" s="4"/>
    </row>
    <row r="8" spans="1:8" ht="17" x14ac:dyDescent="0.2">
      <c r="A8" s="13" t="s">
        <v>10</v>
      </c>
      <c r="B8" s="10">
        <v>1</v>
      </c>
      <c r="C8" s="11">
        <f>2/5</f>
        <v>0.4</v>
      </c>
      <c r="D8" s="8">
        <v>0</v>
      </c>
      <c r="E8" s="4"/>
      <c r="F8" s="4"/>
      <c r="G8" s="4"/>
      <c r="H8" s="4"/>
    </row>
    <row r="9" spans="1:8" ht="17" x14ac:dyDescent="0.2">
      <c r="A9" s="13" t="s">
        <v>11</v>
      </c>
      <c r="B9" s="10">
        <v>1</v>
      </c>
      <c r="C9" s="11">
        <f>2/5</f>
        <v>0.4</v>
      </c>
      <c r="D9" s="12">
        <f>4/12</f>
        <v>0.33333333333333331</v>
      </c>
      <c r="E9" s="4"/>
      <c r="F9" s="4"/>
      <c r="G9" s="4"/>
      <c r="H9" s="4"/>
    </row>
    <row r="10" spans="1:8" ht="17" x14ac:dyDescent="0.2">
      <c r="A10" s="13" t="s">
        <v>12</v>
      </c>
      <c r="B10" s="8">
        <v>0</v>
      </c>
      <c r="C10" s="11">
        <f>4/5</f>
        <v>0.8</v>
      </c>
      <c r="D10" s="12">
        <f>6/12</f>
        <v>0.5</v>
      </c>
      <c r="E10" s="4"/>
      <c r="F10" s="4"/>
      <c r="G10" s="4"/>
      <c r="H10" s="4"/>
    </row>
    <row r="11" spans="1:8" ht="17" x14ac:dyDescent="0.2">
      <c r="A11" s="13" t="s">
        <v>13</v>
      </c>
      <c r="B11" s="10">
        <v>1</v>
      </c>
      <c r="C11" s="11">
        <v>1</v>
      </c>
      <c r="D11" s="12">
        <v>1</v>
      </c>
      <c r="E11" s="4"/>
      <c r="F11" s="4"/>
      <c r="G11" s="4"/>
      <c r="H11" s="4"/>
    </row>
    <row r="12" spans="1:8" ht="17" x14ac:dyDescent="0.2">
      <c r="A12" s="13" t="s">
        <v>14</v>
      </c>
      <c r="B12" s="10">
        <v>1</v>
      </c>
      <c r="C12" s="11">
        <v>0.8</v>
      </c>
      <c r="D12" s="12">
        <f>10/12</f>
        <v>0.83333333333333337</v>
      </c>
      <c r="E12" s="4"/>
      <c r="F12" s="4"/>
      <c r="G12" s="4"/>
      <c r="H12" s="4"/>
    </row>
    <row r="13" spans="1:8" ht="17" x14ac:dyDescent="0.2">
      <c r="A13" s="13" t="s">
        <v>15</v>
      </c>
      <c r="B13" s="10">
        <v>1</v>
      </c>
      <c r="C13" s="11">
        <v>1</v>
      </c>
      <c r="D13" s="12">
        <v>1</v>
      </c>
      <c r="E13" s="4"/>
      <c r="F13" s="4"/>
      <c r="G13" s="4"/>
      <c r="H13" s="4"/>
    </row>
    <row r="14" spans="1:8" ht="17" x14ac:dyDescent="0.2">
      <c r="A14" s="13" t="s">
        <v>16</v>
      </c>
      <c r="B14" s="10">
        <v>1</v>
      </c>
      <c r="C14" s="11">
        <f>3/5</f>
        <v>0.6</v>
      </c>
      <c r="D14" s="12">
        <f>8/12</f>
        <v>0.66666666666666663</v>
      </c>
      <c r="E14" s="4"/>
      <c r="F14" s="4"/>
      <c r="G14" s="4"/>
      <c r="H14" s="4"/>
    </row>
    <row r="15" spans="1:8" ht="17" x14ac:dyDescent="0.2">
      <c r="A15" s="13" t="s">
        <v>17</v>
      </c>
      <c r="B15" s="10">
        <v>1</v>
      </c>
      <c r="C15" s="14">
        <v>0</v>
      </c>
      <c r="D15" s="12">
        <f>6/12</f>
        <v>0.5</v>
      </c>
      <c r="E15" s="4"/>
      <c r="F15" s="4"/>
      <c r="G15" s="4"/>
      <c r="H15" s="4"/>
    </row>
    <row r="16" spans="1:8" ht="17" x14ac:dyDescent="0.2">
      <c r="A16" s="13" t="s">
        <v>18</v>
      </c>
      <c r="B16" s="10">
        <v>1</v>
      </c>
      <c r="C16" s="14">
        <v>0</v>
      </c>
      <c r="D16" s="12">
        <f>3/12</f>
        <v>0.25</v>
      </c>
      <c r="E16" s="4"/>
      <c r="F16" s="4"/>
      <c r="G16" s="4"/>
      <c r="H16" s="4"/>
    </row>
    <row r="17" spans="1:8" ht="17" x14ac:dyDescent="0.2">
      <c r="A17" s="13" t="s">
        <v>19</v>
      </c>
      <c r="B17" s="8">
        <v>0</v>
      </c>
      <c r="C17" s="11">
        <f>1/5</f>
        <v>0.2</v>
      </c>
      <c r="D17" s="12">
        <f>4/12</f>
        <v>0.33333333333333331</v>
      </c>
      <c r="E17" s="4"/>
      <c r="F17" s="4"/>
      <c r="G17" s="4"/>
      <c r="H17" s="4"/>
    </row>
    <row r="18" spans="1:8" x14ac:dyDescent="0.2">
      <c r="A18" s="15"/>
      <c r="B18" s="4"/>
      <c r="C18" s="4"/>
      <c r="D18" s="4"/>
      <c r="E18" s="4"/>
      <c r="F18" s="4"/>
      <c r="G18" s="4"/>
      <c r="H18" s="4"/>
    </row>
    <row r="19" spans="1:8" x14ac:dyDescent="0.2">
      <c r="A19" s="15"/>
      <c r="B19" s="4"/>
      <c r="C19" s="4"/>
      <c r="D19" s="4"/>
      <c r="E19" s="4"/>
      <c r="F19" s="4"/>
      <c r="G19" s="4"/>
      <c r="H19" s="4"/>
    </row>
    <row r="20" spans="1:8" x14ac:dyDescent="0.2">
      <c r="A20" s="15"/>
      <c r="B20" s="4"/>
      <c r="C20" s="4"/>
      <c r="D20" s="4"/>
      <c r="E20" s="4"/>
    </row>
    <row r="21" spans="1:8" x14ac:dyDescent="0.2">
      <c r="A21" s="15"/>
      <c r="B21" s="4"/>
      <c r="C21" s="4"/>
      <c r="D21" s="4"/>
      <c r="E21" s="4"/>
    </row>
    <row r="22" spans="1:8" x14ac:dyDescent="0.2">
      <c r="A22" s="15"/>
      <c r="B22" s="4"/>
      <c r="C22" s="4"/>
      <c r="D22" s="4"/>
      <c r="E22" s="4"/>
    </row>
    <row r="23" spans="1:8" x14ac:dyDescent="0.2">
      <c r="A23" s="15"/>
      <c r="B23" s="4"/>
      <c r="C23" s="4"/>
      <c r="D23" s="4"/>
      <c r="E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Crowder, Camerron M</dc:creator>
  <cp:lastModifiedBy>Crowder, Camerron M</cp:lastModifiedBy>
  <dcterms:created xsi:type="dcterms:W3CDTF">2025-11-04T17:13:48Z</dcterms:created>
  <dcterms:modified xsi:type="dcterms:W3CDTF">2025-11-04T17:14:00Z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2025-11-04T17:13:55Z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969599f7-0aa8-4b44-acbf-5dbde70abee5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